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Iprojects\github-agent\output\"/>
    </mc:Choice>
  </mc:AlternateContent>
  <xr:revisionPtr revIDLastSave="0" documentId="13_ncr:1_{8281776C-C766-471C-BBC1-376A37E3E702}" xr6:coauthVersionLast="47" xr6:coauthVersionMax="47" xr10:uidLastSave="{00000000-0000-0000-0000-000000000000}"/>
  <bookViews>
    <workbookView xWindow="-75" yWindow="-16320" windowWidth="29040" windowHeight="15720" activeTab="2" xr2:uid="{00000000-000D-0000-FFFF-FFFF00000000}"/>
  </bookViews>
  <sheets>
    <sheet name="Project 1" sheetId="1" r:id="rId1"/>
    <sheet name="Project 2" sheetId="2" r:id="rId2"/>
    <sheet name="Project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" l="1"/>
  <c r="D21" i="3"/>
  <c r="C21" i="3"/>
  <c r="B21" i="3"/>
  <c r="E20" i="3"/>
  <c r="E19" i="3"/>
  <c r="E21" i="3" s="1"/>
  <c r="C31" i="3" s="1"/>
  <c r="D16" i="3"/>
  <c r="C16" i="3"/>
  <c r="B16" i="3"/>
  <c r="E15" i="3"/>
  <c r="E14" i="3"/>
  <c r="E13" i="3"/>
  <c r="D10" i="3"/>
  <c r="D23" i="3" s="1"/>
  <c r="C10" i="3"/>
  <c r="B10" i="3"/>
  <c r="B29" i="3" s="1"/>
  <c r="E9" i="3"/>
  <c r="E8" i="3"/>
  <c r="E10" i="3" s="1"/>
  <c r="C29" i="3" s="1"/>
  <c r="E21" i="2"/>
  <c r="C31" i="2" s="1"/>
  <c r="D21" i="2"/>
  <c r="C21" i="2"/>
  <c r="B31" i="2" s="1"/>
  <c r="B21" i="2"/>
  <c r="E20" i="2"/>
  <c r="E19" i="2"/>
  <c r="D16" i="2"/>
  <c r="C16" i="2"/>
  <c r="B16" i="2"/>
  <c r="E15" i="2"/>
  <c r="E14" i="2"/>
  <c r="E13" i="2"/>
  <c r="E16" i="2" s="1"/>
  <c r="C30" i="2" s="1"/>
  <c r="D10" i="2"/>
  <c r="C10" i="2"/>
  <c r="B10" i="2"/>
  <c r="B29" i="2" s="1"/>
  <c r="E9" i="2"/>
  <c r="E8" i="2"/>
  <c r="E10" i="2" s="1"/>
  <c r="C29" i="2" s="1"/>
  <c r="D21" i="1"/>
  <c r="D23" i="1" s="1"/>
  <c r="C21" i="1"/>
  <c r="B21" i="1"/>
  <c r="E20" i="1"/>
  <c r="E19" i="1"/>
  <c r="E21" i="1" s="1"/>
  <c r="C31" i="1" s="1"/>
  <c r="D16" i="1"/>
  <c r="C16" i="1"/>
  <c r="B16" i="1"/>
  <c r="B30" i="1" s="1"/>
  <c r="E15" i="1"/>
  <c r="E14" i="1"/>
  <c r="E13" i="1"/>
  <c r="D10" i="1"/>
  <c r="C10" i="1"/>
  <c r="C23" i="1" s="1"/>
  <c r="B10" i="1"/>
  <c r="E9" i="1"/>
  <c r="E8" i="1"/>
  <c r="E10" i="1" s="1"/>
  <c r="C29" i="1" s="1"/>
  <c r="B30" i="2" l="1"/>
  <c r="D23" i="2"/>
  <c r="E16" i="3"/>
  <c r="C30" i="3" s="1"/>
  <c r="C32" i="3" s="1"/>
  <c r="B30" i="3"/>
  <c r="B32" i="3" s="1"/>
  <c r="C23" i="3"/>
  <c r="B31" i="1"/>
  <c r="B23" i="1"/>
  <c r="E23" i="1" s="1"/>
  <c r="E16" i="1"/>
  <c r="C30" i="1" s="1"/>
  <c r="C32" i="1" s="1"/>
  <c r="B29" i="1"/>
  <c r="C32" i="2"/>
  <c r="B32" i="2"/>
  <c r="B23" i="2"/>
  <c r="B23" i="3"/>
  <c r="C23" i="2"/>
  <c r="B32" i="1" l="1"/>
  <c r="B24" i="1"/>
  <c r="B24" i="2"/>
  <c r="E23" i="2"/>
  <c r="B24" i="3"/>
  <c r="E23" i="3"/>
</calcChain>
</file>

<file path=xl/sharedStrings.xml><?xml version="1.0" encoding="utf-8"?>
<sst xmlns="http://schemas.openxmlformats.org/spreadsheetml/2006/main" count="111" uniqueCount="43">
  <si>
    <t>Project 1: Angerlo – Ravenstein</t>
  </si>
  <si>
    <t>Budget Range: € 10,500.00 - € 13,500.00</t>
  </si>
  <si>
    <t>DNV 2026 Rates: Professional €145/h | Senior €189/h | Principal €231/h</t>
  </si>
  <si>
    <t>Work Package / Task</t>
  </si>
  <si>
    <t>Professional Hours</t>
  </si>
  <si>
    <t>Senior Hours</t>
  </si>
  <si>
    <t>Principal Hours</t>
  </si>
  <si>
    <t>Contract Price</t>
  </si>
  <si>
    <t>Hourly Rates →</t>
  </si>
  <si>
    <t>(Formulas calculate automatically)</t>
  </si>
  <si>
    <t>2.1 Project Management &amp; Stakeholder Engagement</t>
  </si>
  <si>
    <t xml:space="preserve">  Project Management &amp; Meetings</t>
  </si>
  <si>
    <t xml:space="preserve">  Stakeholder Consultation &amp; Data Gathering</t>
  </si>
  <si>
    <t xml:space="preserve">  Subtotal</t>
  </si>
  <si>
    <t>2.2 Comprehensive Modeling &amp; Analysis</t>
  </si>
  <si>
    <t xml:space="preserve">  Build Detailed Models (380kV TenneT DTC-DOD, 50kV TenneT BML-NM)</t>
  </si>
  <si>
    <t xml:space="preserve">  Model 4x 10kV Cable Parallelisms (Liander B/C, ProRail I/II)</t>
  </si>
  <si>
    <t xml:space="preserve">  AC Corrosion &amp; Touch Voltage Calculations</t>
  </si>
  <si>
    <t>2.3 Final Reporting &amp; Close-out</t>
  </si>
  <si>
    <t xml:space="preserve">  Final Report Preparation &amp; Presentation</t>
  </si>
  <si>
    <t xml:space="preserve">  Contingency</t>
  </si>
  <si>
    <t>TOTAL HOURS &amp; COST</t>
  </si>
  <si>
    <t>Total Hours:</t>
  </si>
  <si>
    <t>CLIENT SUMMARY - Work Package Overview</t>
  </si>
  <si>
    <t>Work Package</t>
  </si>
  <si>
    <t>Total Hours</t>
  </si>
  <si>
    <t>Cost</t>
  </si>
  <si>
    <t>Notes</t>
  </si>
  <si>
    <t>Project Management &amp; Stakeholder Engagement</t>
  </si>
  <si>
    <t>Project coordination, meetings, data collection</t>
  </si>
  <si>
    <t>Comprehensive Modeling &amp; Analysis</t>
  </si>
  <si>
    <t>Technical calculations, simulations, compliance checks</t>
  </si>
  <si>
    <t>Final Reporting &amp; Close-out</t>
  </si>
  <si>
    <t>Documentation, final report, presentation</t>
  </si>
  <si>
    <t>PROJECT TOTAL</t>
  </si>
  <si>
    <t>Project 2: Ravenstein – Boxtel</t>
  </si>
  <si>
    <t>Budget Range: € 14,500.00 - € 18,500.00</t>
  </si>
  <si>
    <t xml:space="preserve">  Build Complex Models (Multiple 380kV, 110kV, 150kV Lines)</t>
  </si>
  <si>
    <t xml:space="preserve">  Model 3x 10kV Cable Parallelisms (Enexis A, Liander A/B)</t>
  </si>
  <si>
    <t>Project 3: Zweekhorst – Ommen</t>
  </si>
  <si>
    <t>Budget Range: € 7,500.00 - € 9,500.00</t>
  </si>
  <si>
    <t xml:space="preserve">  Build Models (150kV TenneT OS-UD, OST-BXT Cables 1+2)</t>
  </si>
  <si>
    <t xml:space="preserve">  Model 1x 10kV Cable Parallelism (Liander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</si>
</sst>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\ #,##0"/>
    <numFmt numFmtId="165" formatCode="\€\ #,##0.00"/>
    <numFmt numFmtId="166" formatCode="#,##0.0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name val="Calibri"/>
    </font>
    <font>
      <b/>
      <sz val="11"/>
      <color rgb="FFFFFFFF"/>
      <name val="Calibri"/>
    </font>
    <font>
      <b/>
      <sz val="10"/>
      <name val="Calibri"/>
    </font>
    <font>
      <i/>
      <sz val="9"/>
      <name val="Calibri"/>
    </font>
    <font>
      <b/>
      <sz val="11"/>
      <name val="Calibri"/>
    </font>
    <font>
      <b/>
      <sz val="11"/>
      <name val="Calibri"/>
    </font>
    <font>
      <b/>
      <sz val="12"/>
      <color rgb="FF1F4E78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0" fontId="4" fillId="5" borderId="1" xfId="0" applyFont="1" applyFill="1" applyBorder="1"/>
    <xf numFmtId="3" fontId="4" fillId="5" borderId="1" xfId="0" applyNumberFormat="1" applyFont="1" applyFill="1" applyBorder="1"/>
    <xf numFmtId="165" fontId="4" fillId="5" borderId="1" xfId="0" applyNumberFormat="1" applyFont="1" applyFill="1" applyBorder="1"/>
    <xf numFmtId="0" fontId="6" fillId="6" borderId="1" xfId="0" applyFont="1" applyFill="1" applyBorder="1"/>
    <xf numFmtId="3" fontId="6" fillId="6" borderId="1" xfId="0" applyNumberFormat="1" applyFont="1" applyFill="1" applyBorder="1"/>
    <xf numFmtId="165" fontId="6" fillId="6" borderId="1" xfId="0" applyNumberFormat="1" applyFont="1" applyFill="1" applyBorder="1"/>
    <xf numFmtId="0" fontId="7" fillId="0" borderId="0" xfId="0" applyFont="1"/>
    <xf numFmtId="166" fontId="7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166" fontId="6" fillId="6" borderId="1" xfId="0" applyNumberFormat="1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right"/>
    </xf>
    <xf numFmtId="0" fontId="8" fillId="5" borderId="0" xfId="0" applyFont="1" applyFill="1"/>
    <xf numFmtId="0" fontId="0" fillId="0" borderId="0" xfId="0"/>
    <xf numFmtId="0" fontId="4" fillId="4" borderId="1" xfId="0" applyFont="1" applyFill="1" applyBorder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I15" sqref="I15"/>
    </sheetView>
  </sheetViews>
  <sheetFormatPr defaultRowHeight="15" x14ac:dyDescent="0.25"/>
  <cols>
    <col min="1" max="1" width="66.28515625" bestFit="1" customWidth="1"/>
    <col min="2" max="3" width="18" customWidth="1"/>
    <col min="4" max="4" width="45" customWidth="1"/>
    <col min="5" max="5" width="18" customWidth="1"/>
  </cols>
  <sheetData>
    <row r="1" spans="1:5" ht="18.75" x14ac:dyDescent="0.3">
      <c r="A1" s="28" t="s">
        <v>0</v>
      </c>
      <c r="B1" s="25"/>
      <c r="C1" s="25"/>
      <c r="D1" s="25"/>
      <c r="E1" s="25"/>
    </row>
    <row r="2" spans="1:5" x14ac:dyDescent="0.25">
      <c r="A2" s="27" t="s">
        <v>1</v>
      </c>
      <c r="B2" s="25"/>
      <c r="C2" s="25"/>
      <c r="D2" s="25"/>
      <c r="E2" s="25"/>
    </row>
    <row r="3" spans="1:5" x14ac:dyDescent="0.25">
      <c r="A3" s="27" t="s">
        <v>2</v>
      </c>
      <c r="B3" s="25"/>
      <c r="C3" s="25"/>
      <c r="D3" s="25"/>
      <c r="E3" s="25"/>
    </row>
    <row r="5" spans="1: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25">
      <c r="A6" s="2" t="s">
        <v>8</v>
      </c>
      <c r="B6" s="3">
        <v>145</v>
      </c>
      <c r="C6" s="3">
        <v>189</v>
      </c>
      <c r="D6" s="3">
        <v>231</v>
      </c>
      <c r="E6" s="4" t="s">
        <v>9</v>
      </c>
    </row>
    <row r="7" spans="1:5" x14ac:dyDescent="0.25">
      <c r="A7" s="26" t="s">
        <v>10</v>
      </c>
      <c r="B7" s="25"/>
      <c r="C7" s="25"/>
      <c r="D7" s="25"/>
      <c r="E7" s="25"/>
    </row>
    <row r="8" spans="1:5" x14ac:dyDescent="0.25">
      <c r="A8" s="5" t="s">
        <v>11</v>
      </c>
      <c r="B8" s="6">
        <v>30</v>
      </c>
      <c r="C8" s="6">
        <v>12</v>
      </c>
      <c r="D8" s="6">
        <v>2</v>
      </c>
      <c r="E8" s="7">
        <f>B8*$B6+C8*$C6+D8*$D6</f>
        <v>7080</v>
      </c>
    </row>
    <row r="9" spans="1:5" x14ac:dyDescent="0.25">
      <c r="A9" s="5" t="s">
        <v>12</v>
      </c>
      <c r="B9" s="6">
        <v>5</v>
      </c>
      <c r="C9" s="6">
        <v>3</v>
      </c>
      <c r="D9" s="6">
        <v>0</v>
      </c>
      <c r="E9" s="7">
        <f>B9*$B6+C9*$C6+D9*$D6</f>
        <v>1292</v>
      </c>
    </row>
    <row r="10" spans="1:5" x14ac:dyDescent="0.25">
      <c r="A10" s="8" t="s">
        <v>13</v>
      </c>
      <c r="B10" s="9">
        <f>SUM(B8:B9)</f>
        <v>35</v>
      </c>
      <c r="C10" s="9">
        <f>SUM(C8:C9)</f>
        <v>15</v>
      </c>
      <c r="D10" s="9">
        <f>SUM(D8:D9)</f>
        <v>2</v>
      </c>
      <c r="E10" s="10">
        <f>SUM(E8:E9)</f>
        <v>8372</v>
      </c>
    </row>
    <row r="12" spans="1:5" x14ac:dyDescent="0.25">
      <c r="A12" s="26" t="s">
        <v>14</v>
      </c>
      <c r="B12" s="25"/>
      <c r="C12" s="25"/>
      <c r="D12" s="25"/>
      <c r="E12" s="25"/>
    </row>
    <row r="13" spans="1:5" x14ac:dyDescent="0.25">
      <c r="A13" s="5" t="s">
        <v>15</v>
      </c>
      <c r="B13" s="6">
        <v>22</v>
      </c>
      <c r="C13" s="6">
        <v>18</v>
      </c>
      <c r="D13" s="6">
        <v>4</v>
      </c>
      <c r="E13" s="7">
        <f>B13*$B6+C13*$C6+D13*$D6</f>
        <v>7516</v>
      </c>
    </row>
    <row r="14" spans="1:5" x14ac:dyDescent="0.25">
      <c r="A14" s="5" t="s">
        <v>16</v>
      </c>
      <c r="B14" s="6">
        <v>32</v>
      </c>
      <c r="C14" s="6">
        <v>4</v>
      </c>
      <c r="D14" s="6">
        <v>1</v>
      </c>
      <c r="E14" s="7">
        <f>B14*$B6+C14*$C6+D14*$D6</f>
        <v>5627</v>
      </c>
    </row>
    <row r="15" spans="1:5" x14ac:dyDescent="0.25">
      <c r="A15" s="5" t="s">
        <v>17</v>
      </c>
      <c r="B15" s="6">
        <v>18</v>
      </c>
      <c r="C15" s="6">
        <v>4</v>
      </c>
      <c r="D15" s="6">
        <v>1</v>
      </c>
      <c r="E15" s="7">
        <f>B15*$B6+C15*$C6+D15*$D6</f>
        <v>3597</v>
      </c>
    </row>
    <row r="16" spans="1:5" x14ac:dyDescent="0.25">
      <c r="A16" s="8" t="s">
        <v>13</v>
      </c>
      <c r="B16" s="9">
        <f>SUM(B13:B15)</f>
        <v>72</v>
      </c>
      <c r="C16" s="9">
        <f>SUM(C13:C15)</f>
        <v>26</v>
      </c>
      <c r="D16" s="9">
        <f>SUM(D13:D15)</f>
        <v>6</v>
      </c>
      <c r="E16" s="10">
        <f>SUM(E13:E15)</f>
        <v>16740</v>
      </c>
    </row>
    <row r="18" spans="1:5" x14ac:dyDescent="0.25">
      <c r="A18" s="26" t="s">
        <v>18</v>
      </c>
      <c r="B18" s="25"/>
      <c r="C18" s="25"/>
      <c r="D18" s="25"/>
      <c r="E18" s="25"/>
    </row>
    <row r="19" spans="1:5" x14ac:dyDescent="0.25">
      <c r="A19" s="5" t="s">
        <v>19</v>
      </c>
      <c r="B19" s="6">
        <v>20</v>
      </c>
      <c r="C19" s="6">
        <v>6</v>
      </c>
      <c r="D19" s="6">
        <v>2</v>
      </c>
      <c r="E19" s="7">
        <f>B19*$B6+C19*$C6+D19*$D6</f>
        <v>4496</v>
      </c>
    </row>
    <row r="20" spans="1:5" x14ac:dyDescent="0.25">
      <c r="A20" s="5" t="s">
        <v>20</v>
      </c>
      <c r="B20" s="6">
        <v>5</v>
      </c>
      <c r="C20" s="6">
        <v>2</v>
      </c>
      <c r="D20" s="6">
        <v>1</v>
      </c>
      <c r="E20" s="7">
        <f>B20*$B6+C20*$C6+D20*$D6</f>
        <v>1334</v>
      </c>
    </row>
    <row r="21" spans="1:5" x14ac:dyDescent="0.25">
      <c r="A21" s="8" t="s">
        <v>13</v>
      </c>
      <c r="B21" s="9">
        <f>SUM(B19:B20)</f>
        <v>25</v>
      </c>
      <c r="C21" s="9">
        <f>SUM(C19:C20)</f>
        <v>8</v>
      </c>
      <c r="D21" s="9">
        <f>SUM(D19:D20)</f>
        <v>3</v>
      </c>
      <c r="E21" s="10">
        <f>SUM(E19:E20)</f>
        <v>5830</v>
      </c>
    </row>
    <row r="23" spans="1:5" x14ac:dyDescent="0.25">
      <c r="A23" s="11" t="s">
        <v>21</v>
      </c>
      <c r="B23" s="12">
        <f>B10+B16+B21</f>
        <v>132</v>
      </c>
      <c r="C23" s="12">
        <f>C10+C16+C21</f>
        <v>49</v>
      </c>
      <c r="D23" s="12">
        <f>D10+D16+D21</f>
        <v>11</v>
      </c>
      <c r="E23" s="13">
        <f>B23*$B6+C23*$C6+D23*$D6</f>
        <v>30942</v>
      </c>
    </row>
    <row r="24" spans="1:5" x14ac:dyDescent="0.25">
      <c r="A24" s="14" t="s">
        <v>22</v>
      </c>
      <c r="B24" s="15">
        <f>B23+C23+D23</f>
        <v>192</v>
      </c>
    </row>
    <row r="27" spans="1:5" ht="15.75" x14ac:dyDescent="0.25">
      <c r="A27" s="24" t="s">
        <v>23</v>
      </c>
      <c r="B27" s="25"/>
      <c r="C27" s="25"/>
      <c r="D27" s="25"/>
    </row>
    <row r="28" spans="1:5" x14ac:dyDescent="0.25">
      <c r="A28" s="16" t="s">
        <v>24</v>
      </c>
      <c r="B28" s="16" t="s">
        <v>25</v>
      </c>
      <c r="C28" s="16" t="s">
        <v>26</v>
      </c>
      <c r="D28" s="16" t="s">
        <v>27</v>
      </c>
    </row>
    <row r="29" spans="1:5" x14ac:dyDescent="0.25">
      <c r="A29" s="17" t="s">
        <v>28</v>
      </c>
      <c r="B29" s="18">
        <f>B10+C10+D10</f>
        <v>52</v>
      </c>
      <c r="C29" s="19">
        <f>E10</f>
        <v>8372</v>
      </c>
      <c r="D29" s="20" t="s">
        <v>29</v>
      </c>
    </row>
    <row r="30" spans="1:5" x14ac:dyDescent="0.25">
      <c r="A30" s="17" t="s">
        <v>30</v>
      </c>
      <c r="B30" s="18">
        <f>B16+C16+D16</f>
        <v>104</v>
      </c>
      <c r="C30" s="19">
        <f>E16</f>
        <v>16740</v>
      </c>
      <c r="D30" s="20" t="s">
        <v>31</v>
      </c>
    </row>
    <row r="31" spans="1:5" x14ac:dyDescent="0.25">
      <c r="A31" s="17" t="s">
        <v>32</v>
      </c>
      <c r="B31" s="18">
        <f>B21+C21+D21</f>
        <v>36</v>
      </c>
      <c r="C31" s="19">
        <f>E21</f>
        <v>5830</v>
      </c>
      <c r="D31" s="20" t="s">
        <v>33</v>
      </c>
    </row>
    <row r="32" spans="1:5" x14ac:dyDescent="0.25">
      <c r="A32" s="21" t="s">
        <v>34</v>
      </c>
      <c r="B32" s="22">
        <f>SUM(B29:B31)</f>
        <v>192</v>
      </c>
      <c r="C32" s="23">
        <f>SUM(C29:C31)</f>
        <v>30942</v>
      </c>
      <c r="D32" s="11"/>
    </row>
  </sheetData>
  <mergeCells count="7">
    <mergeCell ref="A27:D27"/>
    <mergeCell ref="A7:E7"/>
    <mergeCell ref="A18:E18"/>
    <mergeCell ref="A3:E3"/>
    <mergeCell ref="A1:E1"/>
    <mergeCell ref="A12:E12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activeCell="I15" sqref="I15"/>
    </sheetView>
  </sheetViews>
  <sheetFormatPr defaultRowHeight="15" x14ac:dyDescent="0.25"/>
  <cols>
    <col min="1" max="1" width="60" customWidth="1"/>
    <col min="2" max="3" width="18" customWidth="1"/>
    <col min="4" max="4" width="45" customWidth="1"/>
    <col min="5" max="5" width="18" customWidth="1"/>
  </cols>
  <sheetData>
    <row r="1" spans="1:5" ht="18.75" x14ac:dyDescent="0.3">
      <c r="A1" s="28" t="s">
        <v>35</v>
      </c>
      <c r="B1" s="25"/>
      <c r="C1" s="25"/>
      <c r="D1" s="25"/>
      <c r="E1" s="25"/>
    </row>
    <row r="2" spans="1:5" x14ac:dyDescent="0.25">
      <c r="A2" s="27" t="s">
        <v>36</v>
      </c>
      <c r="B2" s="25"/>
      <c r="C2" s="25"/>
      <c r="D2" s="25"/>
      <c r="E2" s="25"/>
    </row>
    <row r="3" spans="1:5" x14ac:dyDescent="0.25">
      <c r="A3" s="27" t="s">
        <v>2</v>
      </c>
      <c r="B3" s="25"/>
      <c r="C3" s="25"/>
      <c r="D3" s="25"/>
      <c r="E3" s="25"/>
    </row>
    <row r="5" spans="1: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25">
      <c r="A6" s="2" t="s">
        <v>8</v>
      </c>
      <c r="B6" s="3">
        <v>145</v>
      </c>
      <c r="C6" s="3">
        <v>189</v>
      </c>
      <c r="D6" s="3">
        <v>231</v>
      </c>
      <c r="E6" s="4" t="s">
        <v>9</v>
      </c>
    </row>
    <row r="7" spans="1:5" x14ac:dyDescent="0.25">
      <c r="A7" s="26" t="s">
        <v>10</v>
      </c>
      <c r="B7" s="25"/>
      <c r="C7" s="25"/>
      <c r="D7" s="25"/>
      <c r="E7" s="25"/>
    </row>
    <row r="8" spans="1:5" x14ac:dyDescent="0.25">
      <c r="A8" s="5" t="s">
        <v>11</v>
      </c>
      <c r="B8" s="6">
        <v>30</v>
      </c>
      <c r="C8" s="6">
        <v>6</v>
      </c>
      <c r="D8" s="6">
        <v>2</v>
      </c>
      <c r="E8" s="7">
        <f>B8*$B6+C8*$C6+D8*$D6</f>
        <v>5946</v>
      </c>
    </row>
    <row r="9" spans="1:5" x14ac:dyDescent="0.25">
      <c r="A9" s="5" t="s">
        <v>12</v>
      </c>
      <c r="B9" s="6">
        <v>6</v>
      </c>
      <c r="C9" s="6">
        <v>4</v>
      </c>
      <c r="D9" s="6">
        <v>0</v>
      </c>
      <c r="E9" s="7">
        <f>B9*$B6+C9*$C6+D9*$D6</f>
        <v>1626</v>
      </c>
    </row>
    <row r="10" spans="1:5" x14ac:dyDescent="0.25">
      <c r="A10" s="8" t="s">
        <v>13</v>
      </c>
      <c r="B10" s="9">
        <f>SUM(B8:B9)</f>
        <v>36</v>
      </c>
      <c r="C10" s="9">
        <f>SUM(C8:C9)</f>
        <v>10</v>
      </c>
      <c r="D10" s="9">
        <f>SUM(D8:D9)</f>
        <v>2</v>
      </c>
      <c r="E10" s="10">
        <f>SUM(E8:E9)</f>
        <v>7572</v>
      </c>
    </row>
    <row r="12" spans="1:5" x14ac:dyDescent="0.25">
      <c r="A12" s="26" t="s">
        <v>14</v>
      </c>
      <c r="B12" s="25"/>
      <c r="C12" s="25"/>
      <c r="D12" s="25"/>
      <c r="E12" s="25"/>
    </row>
    <row r="13" spans="1:5" x14ac:dyDescent="0.25">
      <c r="A13" s="5" t="s">
        <v>37</v>
      </c>
      <c r="B13" s="6">
        <v>50</v>
      </c>
      <c r="C13" s="6">
        <v>22</v>
      </c>
      <c r="D13" s="6">
        <v>12</v>
      </c>
      <c r="E13" s="7">
        <f>B13*$B6+C13*$C6+D13*$D6</f>
        <v>14180</v>
      </c>
    </row>
    <row r="14" spans="1:5" x14ac:dyDescent="0.25">
      <c r="A14" s="5" t="s">
        <v>38</v>
      </c>
      <c r="B14" s="6">
        <v>10</v>
      </c>
      <c r="C14" s="6">
        <v>5</v>
      </c>
      <c r="D14" s="6">
        <v>1</v>
      </c>
      <c r="E14" s="7">
        <f>B14*$B6+C14*$C6+D14*$D6</f>
        <v>2626</v>
      </c>
    </row>
    <row r="15" spans="1:5" x14ac:dyDescent="0.25">
      <c r="A15" s="5" t="s">
        <v>17</v>
      </c>
      <c r="B15" s="6">
        <v>8</v>
      </c>
      <c r="C15" s="6">
        <v>5</v>
      </c>
      <c r="D15" s="6">
        <v>2</v>
      </c>
      <c r="E15" s="7">
        <f>B15*$B6+C15*$C6+D15*$D6</f>
        <v>2567</v>
      </c>
    </row>
    <row r="16" spans="1:5" x14ac:dyDescent="0.25">
      <c r="A16" s="8" t="s">
        <v>13</v>
      </c>
      <c r="B16" s="9">
        <f>SUM(B13:B15)</f>
        <v>68</v>
      </c>
      <c r="C16" s="9">
        <f>SUM(C13:C15)</f>
        <v>32</v>
      </c>
      <c r="D16" s="9">
        <f>SUM(D13:D15)</f>
        <v>15</v>
      </c>
      <c r="E16" s="10">
        <f>SUM(E13:E15)</f>
        <v>19373</v>
      </c>
    </row>
    <row r="18" spans="1:5" x14ac:dyDescent="0.25">
      <c r="A18" s="26" t="s">
        <v>18</v>
      </c>
      <c r="B18" s="25"/>
      <c r="C18" s="25"/>
      <c r="D18" s="25"/>
      <c r="E18" s="25"/>
    </row>
    <row r="19" spans="1:5" x14ac:dyDescent="0.25">
      <c r="A19" s="5" t="s">
        <v>19</v>
      </c>
      <c r="B19" s="6">
        <v>12</v>
      </c>
      <c r="C19" s="6">
        <v>7</v>
      </c>
      <c r="D19" s="6">
        <v>2</v>
      </c>
      <c r="E19" s="7">
        <f>B19*$B6+C19*$C6+D19*$D6</f>
        <v>3525</v>
      </c>
    </row>
    <row r="20" spans="1:5" x14ac:dyDescent="0.25">
      <c r="A20" s="5" t="s">
        <v>20</v>
      </c>
      <c r="B20" s="6">
        <v>7</v>
      </c>
      <c r="C20" s="6">
        <v>3</v>
      </c>
      <c r="D20" s="6">
        <v>2</v>
      </c>
      <c r="E20" s="7">
        <f>B20*$B6+C20*$C6+D20*$D6</f>
        <v>2044</v>
      </c>
    </row>
    <row r="21" spans="1:5" x14ac:dyDescent="0.25">
      <c r="A21" s="8" t="s">
        <v>13</v>
      </c>
      <c r="B21" s="9">
        <f>SUM(B19:B20)</f>
        <v>19</v>
      </c>
      <c r="C21" s="9">
        <f>SUM(C19:C20)</f>
        <v>10</v>
      </c>
      <c r="D21" s="9">
        <f>SUM(D19:D20)</f>
        <v>4</v>
      </c>
      <c r="E21" s="10">
        <f>SUM(E19:E20)</f>
        <v>5569</v>
      </c>
    </row>
    <row r="23" spans="1:5" x14ac:dyDescent="0.25">
      <c r="A23" s="11" t="s">
        <v>21</v>
      </c>
      <c r="B23" s="12">
        <f>B10+B16+B21</f>
        <v>123</v>
      </c>
      <c r="C23" s="12">
        <f>C10+C16+C21</f>
        <v>52</v>
      </c>
      <c r="D23" s="12">
        <f>D10+D16+D21</f>
        <v>21</v>
      </c>
      <c r="E23" s="13">
        <f>B23*$B6+C23*$C6+D23*$D6</f>
        <v>32514</v>
      </c>
    </row>
    <row r="24" spans="1:5" x14ac:dyDescent="0.25">
      <c r="A24" s="14" t="s">
        <v>22</v>
      </c>
      <c r="B24" s="15">
        <f>B23+C23+D23</f>
        <v>196</v>
      </c>
    </row>
    <row r="27" spans="1:5" ht="15.75" x14ac:dyDescent="0.25">
      <c r="A27" s="24" t="s">
        <v>23</v>
      </c>
      <c r="B27" s="25"/>
      <c r="C27" s="25"/>
      <c r="D27" s="25"/>
    </row>
    <row r="28" spans="1:5" x14ac:dyDescent="0.25">
      <c r="A28" s="16" t="s">
        <v>24</v>
      </c>
      <c r="B28" s="16" t="s">
        <v>25</v>
      </c>
      <c r="C28" s="16" t="s">
        <v>26</v>
      </c>
      <c r="D28" s="16" t="s">
        <v>27</v>
      </c>
    </row>
    <row r="29" spans="1:5" x14ac:dyDescent="0.25">
      <c r="A29" s="17" t="s">
        <v>28</v>
      </c>
      <c r="B29" s="18">
        <f>B10+C10+D10</f>
        <v>48</v>
      </c>
      <c r="C29" s="19">
        <f>E10</f>
        <v>7572</v>
      </c>
      <c r="D29" s="20" t="s">
        <v>29</v>
      </c>
    </row>
    <row r="30" spans="1:5" x14ac:dyDescent="0.25">
      <c r="A30" s="17" t="s">
        <v>30</v>
      </c>
      <c r="B30" s="18">
        <f>B16+C16+D16</f>
        <v>115</v>
      </c>
      <c r="C30" s="19">
        <f>E16</f>
        <v>19373</v>
      </c>
      <c r="D30" s="20" t="s">
        <v>31</v>
      </c>
    </row>
    <row r="31" spans="1:5" x14ac:dyDescent="0.25">
      <c r="A31" s="17" t="s">
        <v>32</v>
      </c>
      <c r="B31" s="18">
        <f>B21+C21+D21</f>
        <v>33</v>
      </c>
      <c r="C31" s="19">
        <f>E21</f>
        <v>5569</v>
      </c>
      <c r="D31" s="20" t="s">
        <v>33</v>
      </c>
    </row>
    <row r="32" spans="1:5" x14ac:dyDescent="0.25">
      <c r="A32" s="21" t="s">
        <v>34</v>
      </c>
      <c r="B32" s="22">
        <f>SUM(B29:B31)</f>
        <v>196</v>
      </c>
      <c r="C32" s="23">
        <f>SUM(C29:C31)</f>
        <v>32514</v>
      </c>
      <c r="D32" s="11"/>
    </row>
  </sheetData>
  <mergeCells count="7">
    <mergeCell ref="A27:D27"/>
    <mergeCell ref="A7:E7"/>
    <mergeCell ref="A18:E18"/>
    <mergeCell ref="A3:E3"/>
    <mergeCell ref="A1:E1"/>
    <mergeCell ref="A12:E12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abSelected="1" workbookViewId="0">
      <selection activeCell="H12" sqref="H12"/>
    </sheetView>
  </sheetViews>
  <sheetFormatPr defaultRowHeight="15" x14ac:dyDescent="0.25"/>
  <cols>
    <col min="1" max="1" width="60" customWidth="1"/>
    <col min="2" max="3" width="18" customWidth="1"/>
    <col min="4" max="4" width="45" customWidth="1"/>
    <col min="5" max="5" width="18" customWidth="1"/>
  </cols>
  <sheetData>
    <row r="1" spans="1:5" ht="18.75" x14ac:dyDescent="0.3">
      <c r="A1" s="28" t="s">
        <v>39</v>
      </c>
      <c r="B1" s="25"/>
      <c r="C1" s="25"/>
      <c r="D1" s="25"/>
      <c r="E1" s="25"/>
    </row>
    <row r="2" spans="1:5" x14ac:dyDescent="0.25">
      <c r="A2" s="27" t="s">
        <v>40</v>
      </c>
      <c r="B2" s="25"/>
      <c r="C2" s="25"/>
      <c r="D2" s="25"/>
      <c r="E2" s="25"/>
    </row>
    <row r="3" spans="1:5" x14ac:dyDescent="0.25">
      <c r="A3" s="27" t="s">
        <v>2</v>
      </c>
      <c r="B3" s="25"/>
      <c r="C3" s="25"/>
      <c r="D3" s="25"/>
      <c r="E3" s="25"/>
    </row>
    <row r="5" spans="1: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25">
      <c r="A6" s="2" t="s">
        <v>8</v>
      </c>
      <c r="B6" s="3">
        <v>145</v>
      </c>
      <c r="C6" s="3">
        <v>189</v>
      </c>
      <c r="D6" s="3">
        <v>231</v>
      </c>
      <c r="E6" s="4" t="s">
        <v>9</v>
      </c>
    </row>
    <row r="7" spans="1:5" x14ac:dyDescent="0.25">
      <c r="A7" s="26" t="s">
        <v>10</v>
      </c>
      <c r="B7" s="25"/>
      <c r="C7" s="25"/>
      <c r="D7" s="25"/>
      <c r="E7" s="25"/>
    </row>
    <row r="8" spans="1:5" x14ac:dyDescent="0.25">
      <c r="A8" s="5" t="s">
        <v>11</v>
      </c>
      <c r="B8" s="6">
        <v>30</v>
      </c>
      <c r="C8" s="6">
        <v>4</v>
      </c>
      <c r="D8" s="6">
        <v>1</v>
      </c>
      <c r="E8" s="7">
        <f>B8*$B6+C8*$C6+D8*$D6</f>
        <v>5337</v>
      </c>
    </row>
    <row r="9" spans="1:5" x14ac:dyDescent="0.25">
      <c r="A9" s="5" t="s">
        <v>12</v>
      </c>
      <c r="B9" s="6">
        <v>4</v>
      </c>
      <c r="C9" s="6">
        <v>2</v>
      </c>
      <c r="D9" s="6">
        <v>0</v>
      </c>
      <c r="E9" s="7">
        <f>B9*$B6+C9*$C6+D9*$D6</f>
        <v>958</v>
      </c>
    </row>
    <row r="10" spans="1:5" x14ac:dyDescent="0.25">
      <c r="A10" s="8" t="s">
        <v>13</v>
      </c>
      <c r="B10" s="9">
        <f>SUM(B8:B9)</f>
        <v>34</v>
      </c>
      <c r="C10" s="9">
        <f>SUM(C8:C9)</f>
        <v>6</v>
      </c>
      <c r="D10" s="9">
        <f>SUM(D8:D9)</f>
        <v>1</v>
      </c>
      <c r="E10" s="10">
        <f>SUM(E8:E9)</f>
        <v>6295</v>
      </c>
    </row>
    <row r="12" spans="1:5" x14ac:dyDescent="0.25">
      <c r="A12" s="26" t="s">
        <v>14</v>
      </c>
      <c r="B12" s="25"/>
      <c r="C12" s="25"/>
      <c r="D12" s="25"/>
      <c r="E12" s="25"/>
    </row>
    <row r="13" spans="1:5" x14ac:dyDescent="0.25">
      <c r="A13" s="5" t="s">
        <v>41</v>
      </c>
      <c r="B13" s="6">
        <v>50</v>
      </c>
      <c r="C13" s="6">
        <v>22</v>
      </c>
      <c r="D13" s="6">
        <v>3</v>
      </c>
      <c r="E13" s="7">
        <f>B13*$B6+C13*$C6+D13*$D6</f>
        <v>12101</v>
      </c>
    </row>
    <row r="14" spans="1:5" x14ac:dyDescent="0.25">
      <c r="A14" s="5" t="s">
        <v>42</v>
      </c>
      <c r="B14" s="6">
        <v>10</v>
      </c>
      <c r="C14" s="6">
        <v>8</v>
      </c>
      <c r="D14" s="6">
        <v>0</v>
      </c>
      <c r="E14" s="7">
        <f>B14*$B6+C14*$C6+D14*$D6</f>
        <v>2962</v>
      </c>
    </row>
    <row r="15" spans="1:5" x14ac:dyDescent="0.25">
      <c r="A15" s="5" t="s">
        <v>17</v>
      </c>
      <c r="B15" s="6">
        <v>4</v>
      </c>
      <c r="C15" s="6">
        <v>3</v>
      </c>
      <c r="D15" s="6">
        <v>1</v>
      </c>
      <c r="E15" s="7">
        <f>B15*$B6+C15*$C6+D15*$D6</f>
        <v>1378</v>
      </c>
    </row>
    <row r="16" spans="1:5" x14ac:dyDescent="0.25">
      <c r="A16" s="8" t="s">
        <v>13</v>
      </c>
      <c r="B16" s="9">
        <f>SUM(B13:B15)</f>
        <v>64</v>
      </c>
      <c r="C16" s="9">
        <f>SUM(C13:C15)</f>
        <v>33</v>
      </c>
      <c r="D16" s="9">
        <f>SUM(D13:D15)</f>
        <v>4</v>
      </c>
      <c r="E16" s="10">
        <f>SUM(E13:E15)</f>
        <v>16441</v>
      </c>
    </row>
    <row r="18" spans="1:5" x14ac:dyDescent="0.25">
      <c r="A18" s="26" t="s">
        <v>18</v>
      </c>
      <c r="B18" s="25"/>
      <c r="C18" s="25"/>
      <c r="D18" s="25"/>
      <c r="E18" s="25"/>
    </row>
    <row r="19" spans="1:5" x14ac:dyDescent="0.25">
      <c r="A19" s="5" t="s">
        <v>19</v>
      </c>
      <c r="B19" s="6">
        <v>18</v>
      </c>
      <c r="C19" s="6">
        <v>5</v>
      </c>
      <c r="D19" s="6">
        <v>1</v>
      </c>
      <c r="E19" s="7">
        <f>B19*$B6+C19*$C6+D19*$D6</f>
        <v>3786</v>
      </c>
    </row>
    <row r="20" spans="1:5" x14ac:dyDescent="0.25">
      <c r="A20" s="5" t="s">
        <v>20</v>
      </c>
      <c r="B20" s="6">
        <v>4</v>
      </c>
      <c r="C20" s="6">
        <v>2</v>
      </c>
      <c r="D20" s="6">
        <v>1</v>
      </c>
      <c r="E20" s="7">
        <f>B20*$B6+C20*$C6+D20*$D6</f>
        <v>1189</v>
      </c>
    </row>
    <row r="21" spans="1:5" x14ac:dyDescent="0.25">
      <c r="A21" s="8" t="s">
        <v>13</v>
      </c>
      <c r="B21" s="9">
        <f>SUM(B19:B20)</f>
        <v>22</v>
      </c>
      <c r="C21" s="9">
        <f>SUM(C19:C20)</f>
        <v>7</v>
      </c>
      <c r="D21" s="9">
        <f>SUM(D19:D20)</f>
        <v>2</v>
      </c>
      <c r="E21" s="10">
        <f>SUM(E19:E20)</f>
        <v>4975</v>
      </c>
    </row>
    <row r="23" spans="1:5" x14ac:dyDescent="0.25">
      <c r="A23" s="11" t="s">
        <v>21</v>
      </c>
      <c r="B23" s="12">
        <f>B10+B16+B21</f>
        <v>120</v>
      </c>
      <c r="C23" s="12">
        <f>C10+C16+C21</f>
        <v>46</v>
      </c>
      <c r="D23" s="12">
        <f>D10+D16+D21</f>
        <v>7</v>
      </c>
      <c r="E23" s="13">
        <f>B23*$B6+C23*$C6+D23*$D6</f>
        <v>27711</v>
      </c>
    </row>
    <row r="24" spans="1:5" x14ac:dyDescent="0.25">
      <c r="A24" s="14" t="s">
        <v>22</v>
      </c>
      <c r="B24" s="15">
        <f>B23+C23+D23</f>
        <v>173</v>
      </c>
    </row>
    <row r="27" spans="1:5" ht="15.75" x14ac:dyDescent="0.25">
      <c r="A27" s="24" t="s">
        <v>23</v>
      </c>
      <c r="B27" s="25"/>
      <c r="C27" s="25"/>
      <c r="D27" s="25"/>
    </row>
    <row r="28" spans="1:5" x14ac:dyDescent="0.25">
      <c r="A28" s="16" t="s">
        <v>24</v>
      </c>
      <c r="B28" s="16" t="s">
        <v>25</v>
      </c>
      <c r="C28" s="16" t="s">
        <v>26</v>
      </c>
      <c r="D28" s="16" t="s">
        <v>27</v>
      </c>
    </row>
    <row r="29" spans="1:5" x14ac:dyDescent="0.25">
      <c r="A29" s="17" t="s">
        <v>28</v>
      </c>
      <c r="B29" s="18">
        <f>B10+C10+D10</f>
        <v>41</v>
      </c>
      <c r="C29" s="19">
        <f>E10</f>
        <v>6295</v>
      </c>
      <c r="D29" s="20" t="s">
        <v>29</v>
      </c>
    </row>
    <row r="30" spans="1:5" x14ac:dyDescent="0.25">
      <c r="A30" s="17" t="s">
        <v>30</v>
      </c>
      <c r="B30" s="18">
        <f>B16+C16+D16</f>
        <v>101</v>
      </c>
      <c r="C30" s="19">
        <f>E16</f>
        <v>16441</v>
      </c>
      <c r="D30" s="20" t="s">
        <v>31</v>
      </c>
    </row>
    <row r="31" spans="1:5" x14ac:dyDescent="0.25">
      <c r="A31" s="17" t="s">
        <v>32</v>
      </c>
      <c r="B31" s="18">
        <f>B21+C21+D21</f>
        <v>31</v>
      </c>
      <c r="C31" s="19">
        <f>E21</f>
        <v>4975</v>
      </c>
      <c r="D31" s="20" t="s">
        <v>33</v>
      </c>
    </row>
    <row r="32" spans="1:5" x14ac:dyDescent="0.25">
      <c r="A32" s="21" t="s">
        <v>34</v>
      </c>
      <c r="B32" s="22">
        <f>SUM(B29:B31)</f>
        <v>173</v>
      </c>
      <c r="C32" s="23">
        <f>SUM(C29:C31)</f>
        <v>27711</v>
      </c>
      <c r="D32" s="11"/>
    </row>
  </sheetData>
  <mergeCells count="7">
    <mergeCell ref="A27:D27"/>
    <mergeCell ref="A7:E7"/>
    <mergeCell ref="A18:E18"/>
    <mergeCell ref="A3:E3"/>
    <mergeCell ref="A1:E1"/>
    <mergeCell ref="A12:E12"/>
    <mergeCell ref="A2:E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8141450-2387-4aca-b41f-19cd6be9dd3c}" enabled="1" method="Standard" siteId="{adf10e2b-b6e9-41d6-be2f-c12bb566019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1</vt:lpstr>
      <vt:lpstr>Project 2</vt:lpstr>
      <vt:lpstr>Project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Schutte, Peet</cp:lastModifiedBy>
  <dcterms:created xsi:type="dcterms:W3CDTF">2025-12-12T15:54:27Z</dcterms:created>
  <dcterms:modified xsi:type="dcterms:W3CDTF">2025-12-12T16:19:02Z</dcterms:modified>
</cp:coreProperties>
</file>