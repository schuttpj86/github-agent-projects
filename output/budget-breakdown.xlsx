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1" sheetId="1" state="visible" r:id="rId1"/>
    <sheet xmlns:r="http://schemas.openxmlformats.org/officeDocument/2006/relationships" name="Project 2" sheetId="2" state="visible" r:id="rId2"/>
    <sheet xmlns:r="http://schemas.openxmlformats.org/officeDocument/2006/relationships" name="Projec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€ #,##0.00"/>
    <numFmt numFmtId="166" formatCode="#,##0.0"/>
  </numFmts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  <font>
      <b val="1"/>
      <sz val="10"/>
    </font>
    <font>
      <i val="1"/>
      <sz val="9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165" fontId="4" fillId="5" borderId="1" pivotButton="0" quotePrefix="0" xfId="0"/>
    <xf numFmtId="0" fontId="6" fillId="6" borderId="1" pivotButton="0" quotePrefix="0" xfId="0"/>
    <xf numFmtId="3" fontId="6" fillId="6" borderId="1" pivotButton="0" quotePrefix="0" xfId="0"/>
    <xf numFmtId="165" fontId="6" fillId="6" borderId="1" pivotButton="0" quotePrefix="0" xfId="0"/>
    <xf numFmtId="0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 1: Angerlo – Ravenstein</t>
        </is>
      </c>
    </row>
    <row r="2">
      <c r="A2" s="2" t="inlineStr">
        <is>
          <t>Budget Range: € 10,500.00 - € 13,500.00</t>
        </is>
      </c>
    </row>
    <row r="3">
      <c r="A3" s="2" t="inlineStr">
        <is>
          <t>DNV 2026 Rates: Professional €145/h | Senior €189/h | Principal €231/h</t>
        </is>
      </c>
    </row>
    <row r="5">
      <c r="A5" s="3" t="inlineStr">
        <is>
          <t>Work Package / Task</t>
        </is>
      </c>
      <c r="B5" s="3" t="inlineStr">
        <is>
          <t>Professional Hours</t>
        </is>
      </c>
      <c r="C5" s="3" t="inlineStr">
        <is>
          <t>Senior Hours</t>
        </is>
      </c>
      <c r="D5" s="3" t="inlineStr">
        <is>
          <t>Principal Hours</t>
        </is>
      </c>
      <c r="E5" s="3" t="inlineStr">
        <is>
          <t>Contract Price</t>
        </is>
      </c>
    </row>
    <row r="6">
      <c r="A6" s="4" t="inlineStr">
        <is>
          <t>Hourly Rates →</t>
        </is>
      </c>
      <c r="B6" s="5" t="n">
        <v>145</v>
      </c>
      <c r="C6" s="5" t="n">
        <v>189</v>
      </c>
      <c r="D6" s="5" t="n">
        <v>231</v>
      </c>
      <c r="E6" s="6" t="inlineStr">
        <is>
          <t>(Formulas calculate automatically)</t>
        </is>
      </c>
    </row>
    <row r="7">
      <c r="A7" s="7" t="inlineStr">
        <is>
          <t>2.1 Project Management &amp; Stakeholder Engagement</t>
        </is>
      </c>
    </row>
    <row r="8">
      <c r="A8" s="8" t="inlineStr">
        <is>
          <t xml:space="preserve">  Project Management &amp; Meetings</t>
        </is>
      </c>
      <c r="B8" s="9" t="n">
        <v>12</v>
      </c>
      <c r="C8" s="9" t="n">
        <v>5</v>
      </c>
      <c r="D8" s="9" t="n">
        <v>2</v>
      </c>
      <c r="E8" s="10">
        <f>B8*$B6+C8*$C6+D8*$D6</f>
        <v/>
      </c>
    </row>
    <row r="9">
      <c r="A9" s="8" t="inlineStr">
        <is>
          <t xml:space="preserve">  Stakeholder Consultation &amp; Data Gathering</t>
        </is>
      </c>
      <c r="B9" s="9" t="n">
        <v>5</v>
      </c>
      <c r="C9" s="9" t="n">
        <v>3</v>
      </c>
      <c r="D9" s="9" t="n">
        <v>0</v>
      </c>
      <c r="E9" s="10">
        <f>B9*$B6+C9*$C6+D9*$D6</f>
        <v/>
      </c>
    </row>
    <row r="10">
      <c r="A10" s="11" t="inlineStr">
        <is>
          <t xml:space="preserve">  Subtotal</t>
        </is>
      </c>
      <c r="B10" s="12">
        <f>SUM(B8:B9)</f>
        <v/>
      </c>
      <c r="C10" s="12">
        <f>SUM(C8:C9)</f>
        <v/>
      </c>
      <c r="D10" s="12">
        <f>SUM(D8:D9)</f>
        <v/>
      </c>
      <c r="E10" s="13">
        <f>SUM(E8:E9)</f>
        <v/>
      </c>
    </row>
    <row r="11"/>
    <row r="12">
      <c r="A12" s="7" t="inlineStr">
        <is>
          <t>2.2 Comprehensive Modeling &amp; Analysis</t>
        </is>
      </c>
    </row>
    <row r="13">
      <c r="A13" s="8" t="inlineStr">
        <is>
          <t xml:space="preserve">  Build Detailed Models (380kV TenneT DTC-DOD, 50kV TenneT BML-NM)</t>
        </is>
      </c>
      <c r="B13" s="9" t="n">
        <v>28</v>
      </c>
      <c r="C13" s="9" t="n">
        <v>18</v>
      </c>
      <c r="D13" s="9" t="n">
        <v>4</v>
      </c>
      <c r="E13" s="10">
        <f>B13*$B6+C13*$C6+D13*$D6</f>
        <v/>
      </c>
    </row>
    <row r="14">
      <c r="A14" s="8" t="inlineStr">
        <is>
          <t xml:space="preserve">  Model 4x 10kV Cable Parallelisms (Liander B/C, ProRail I/II)</t>
        </is>
      </c>
      <c r="B14" s="9" t="n">
        <v>8</v>
      </c>
      <c r="C14" s="9" t="n">
        <v>4</v>
      </c>
      <c r="D14" s="9" t="n">
        <v>1</v>
      </c>
      <c r="E14" s="10">
        <f>B14*$B6+C14*$C6+D14*$D6</f>
        <v/>
      </c>
    </row>
    <row r="15">
      <c r="A15" s="8" t="inlineStr">
        <is>
          <t xml:space="preserve">  AC Corrosion &amp; Touch Voltage Calculations</t>
        </is>
      </c>
      <c r="B15" s="9" t="n">
        <v>6</v>
      </c>
      <c r="C15" s="9" t="n">
        <v>4</v>
      </c>
      <c r="D15" s="9" t="n">
        <v>1</v>
      </c>
      <c r="E15" s="10">
        <f>B15*$B6+C15*$C6+D15*$D6</f>
        <v/>
      </c>
    </row>
    <row r="16">
      <c r="A16" s="11" t="inlineStr">
        <is>
          <t xml:space="preserve">  Subtotal</t>
        </is>
      </c>
      <c r="B16" s="12">
        <f>SUM(B13:B15)</f>
        <v/>
      </c>
      <c r="C16" s="12">
        <f>SUM(C13:C15)</f>
        <v/>
      </c>
      <c r="D16" s="12">
        <f>SUM(D13:D15)</f>
        <v/>
      </c>
      <c r="E16" s="13">
        <f>SUM(E13:E15)</f>
        <v/>
      </c>
    </row>
    <row r="17"/>
    <row r="18">
      <c r="A18" s="7" t="inlineStr">
        <is>
          <t>2.3 Final Reporting &amp; Close-out</t>
        </is>
      </c>
    </row>
    <row r="19">
      <c r="A19" s="8" t="inlineStr">
        <is>
          <t xml:space="preserve">  Final Report Preparation &amp; Presentation</t>
        </is>
      </c>
      <c r="B19" s="9" t="n">
        <v>10</v>
      </c>
      <c r="C19" s="9" t="n">
        <v>6</v>
      </c>
      <c r="D19" s="9" t="n">
        <v>2</v>
      </c>
      <c r="E19" s="10">
        <f>B19*$B6+C19*$C6+D19*$D6</f>
        <v/>
      </c>
    </row>
    <row r="20">
      <c r="A20" s="8" t="inlineStr">
        <is>
          <t xml:space="preserve">  Contingency</t>
        </is>
      </c>
      <c r="B20" s="9" t="n">
        <v>5</v>
      </c>
      <c r="C20" s="9" t="n">
        <v>2</v>
      </c>
      <c r="D20" s="9" t="n">
        <v>1</v>
      </c>
      <c r="E20" s="10">
        <f>B20*$B6+C20*$C6+D20*$D6</f>
        <v/>
      </c>
    </row>
    <row r="21">
      <c r="A21" s="11" t="inlineStr">
        <is>
          <t xml:space="preserve">  Subtotal</t>
        </is>
      </c>
      <c r="B21" s="12">
        <f>SUM(B19:B20)</f>
        <v/>
      </c>
      <c r="C21" s="12">
        <f>SUM(C19:C20)</f>
        <v/>
      </c>
      <c r="D21" s="12">
        <f>SUM(D19:D20)</f>
        <v/>
      </c>
      <c r="E21" s="13">
        <f>SUM(E19:E20)</f>
        <v/>
      </c>
    </row>
    <row r="22"/>
    <row r="23">
      <c r="A23" s="14" t="inlineStr">
        <is>
          <t>TOTAL HOURS &amp; COST</t>
        </is>
      </c>
      <c r="B23" s="15">
        <f>B10+B16+B21</f>
        <v/>
      </c>
      <c r="C23" s="15">
        <f>C10+C16+C21</f>
        <v/>
      </c>
      <c r="D23" s="15">
        <f>D10+D16+D21</f>
        <v/>
      </c>
      <c r="E23" s="16">
        <f>B23*$B6+C23*$C6+D23*$D6</f>
        <v/>
      </c>
    </row>
    <row r="24">
      <c r="A24" s="17" t="inlineStr">
        <is>
          <t>Total Hours:</t>
        </is>
      </c>
      <c r="B24" s="18">
        <f>B23+C23+D23</f>
        <v/>
      </c>
    </row>
  </sheetData>
  <mergeCells count="6"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 2: Ravenstein – Boxtel</t>
        </is>
      </c>
    </row>
    <row r="2">
      <c r="A2" s="2" t="inlineStr">
        <is>
          <t>Budget Range: € 14,500.00 - € 18,500.00</t>
        </is>
      </c>
    </row>
    <row r="3">
      <c r="A3" s="2" t="inlineStr">
        <is>
          <t>DNV 2026 Rates: Professional €145/h | Senior €189/h | Principal €231/h</t>
        </is>
      </c>
    </row>
    <row r="5">
      <c r="A5" s="3" t="inlineStr">
        <is>
          <t>Work Package / Task</t>
        </is>
      </c>
      <c r="B5" s="3" t="inlineStr">
        <is>
          <t>Professional Hours</t>
        </is>
      </c>
      <c r="C5" s="3" t="inlineStr">
        <is>
          <t>Senior Hours</t>
        </is>
      </c>
      <c r="D5" s="3" t="inlineStr">
        <is>
          <t>Principal Hours</t>
        </is>
      </c>
      <c r="E5" s="3" t="inlineStr">
        <is>
          <t>Contract Price</t>
        </is>
      </c>
    </row>
    <row r="6">
      <c r="A6" s="4" t="inlineStr">
        <is>
          <t>Hourly Rates →</t>
        </is>
      </c>
      <c r="B6" s="5" t="n">
        <v>145</v>
      </c>
      <c r="C6" s="5" t="n">
        <v>189</v>
      </c>
      <c r="D6" s="5" t="n">
        <v>231</v>
      </c>
      <c r="E6" s="6" t="inlineStr">
        <is>
          <t>(Formulas calculate automatically)</t>
        </is>
      </c>
    </row>
    <row r="7">
      <c r="A7" s="7" t="inlineStr">
        <is>
          <t>2.1 Project Management &amp; Stakeholder Engagement</t>
        </is>
      </c>
    </row>
    <row r="8">
      <c r="A8" s="8" t="inlineStr">
        <is>
          <t xml:space="preserve">  Project Management &amp; Meetings</t>
        </is>
      </c>
      <c r="B8" s="9" t="n">
        <v>14</v>
      </c>
      <c r="C8" s="9" t="n">
        <v>6</v>
      </c>
      <c r="D8" s="9" t="n">
        <v>2</v>
      </c>
      <c r="E8" s="10">
        <f>B8*$B6+C8*$C6+D8*$D6</f>
        <v/>
      </c>
    </row>
    <row r="9">
      <c r="A9" s="8" t="inlineStr">
        <is>
          <t xml:space="preserve">  Stakeholder Consultation &amp; Data Gathering</t>
        </is>
      </c>
      <c r="B9" s="9" t="n">
        <v>6</v>
      </c>
      <c r="C9" s="9" t="n">
        <v>4</v>
      </c>
      <c r="D9" s="9" t="n">
        <v>0</v>
      </c>
      <c r="E9" s="10">
        <f>B9*$B6+C9*$C6+D9*$D6</f>
        <v/>
      </c>
    </row>
    <row r="10">
      <c r="A10" s="11" t="inlineStr">
        <is>
          <t xml:space="preserve">  Subtotal</t>
        </is>
      </c>
      <c r="B10" s="12">
        <f>SUM(B8:B9)</f>
        <v/>
      </c>
      <c r="C10" s="12">
        <f>SUM(C8:C9)</f>
        <v/>
      </c>
      <c r="D10" s="12">
        <f>SUM(D8:D9)</f>
        <v/>
      </c>
      <c r="E10" s="13">
        <f>SUM(E8:E9)</f>
        <v/>
      </c>
    </row>
    <row r="11"/>
    <row r="12">
      <c r="A12" s="7" t="inlineStr">
        <is>
          <t>2.2 Comprehensive Modeling &amp; Analysis</t>
        </is>
      </c>
    </row>
    <row r="13">
      <c r="A13" s="8" t="inlineStr">
        <is>
          <t xml:space="preserve">  Build Complex Models (Multiple 380kV, 110kV, 150kV Lines)</t>
        </is>
      </c>
      <c r="B13" s="9" t="n">
        <v>38</v>
      </c>
      <c r="C13" s="9" t="n">
        <v>22</v>
      </c>
      <c r="D13" s="9" t="n">
        <v>6</v>
      </c>
      <c r="E13" s="10">
        <f>B13*$B6+C13*$C6+D13*$D6</f>
        <v/>
      </c>
    </row>
    <row r="14">
      <c r="A14" s="8" t="inlineStr">
        <is>
          <t xml:space="preserve">  Model 3x 10kV Cable Parallelisms (Enexis A, Liander A/B)</t>
        </is>
      </c>
      <c r="B14" s="9" t="n">
        <v>10</v>
      </c>
      <c r="C14" s="9" t="n">
        <v>5</v>
      </c>
      <c r="D14" s="9" t="n">
        <v>1</v>
      </c>
      <c r="E14" s="10">
        <f>B14*$B6+C14*$C6+D14*$D6</f>
        <v/>
      </c>
    </row>
    <row r="15">
      <c r="A15" s="8" t="inlineStr">
        <is>
          <t xml:space="preserve">  AC Corrosion &amp; Touch Voltage Calculations</t>
        </is>
      </c>
      <c r="B15" s="9" t="n">
        <v>8</v>
      </c>
      <c r="C15" s="9" t="n">
        <v>5</v>
      </c>
      <c r="D15" s="9" t="n">
        <v>2</v>
      </c>
      <c r="E15" s="10">
        <f>B15*$B6+C15*$C6+D15*$D6</f>
        <v/>
      </c>
    </row>
    <row r="16">
      <c r="A16" s="11" t="inlineStr">
        <is>
          <t xml:space="preserve">  Subtotal</t>
        </is>
      </c>
      <c r="B16" s="12">
        <f>SUM(B13:B15)</f>
        <v/>
      </c>
      <c r="C16" s="12">
        <f>SUM(C13:C15)</f>
        <v/>
      </c>
      <c r="D16" s="12">
        <f>SUM(D13:D15)</f>
        <v/>
      </c>
      <c r="E16" s="13">
        <f>SUM(E13:E15)</f>
        <v/>
      </c>
    </row>
    <row r="17"/>
    <row r="18">
      <c r="A18" s="7" t="inlineStr">
        <is>
          <t>2.3 Final Reporting &amp; Close-out</t>
        </is>
      </c>
    </row>
    <row r="19">
      <c r="A19" s="8" t="inlineStr">
        <is>
          <t xml:space="preserve">  Final Report Preparation &amp; Presentation</t>
        </is>
      </c>
      <c r="B19" s="9" t="n">
        <v>12</v>
      </c>
      <c r="C19" s="9" t="n">
        <v>7</v>
      </c>
      <c r="D19" s="9" t="n">
        <v>2</v>
      </c>
      <c r="E19" s="10">
        <f>B19*$B6+C19*$C6+D19*$D6</f>
        <v/>
      </c>
    </row>
    <row r="20">
      <c r="A20" s="8" t="inlineStr">
        <is>
          <t xml:space="preserve">  Contingency</t>
        </is>
      </c>
      <c r="B20" s="9" t="n">
        <v>7</v>
      </c>
      <c r="C20" s="9" t="n">
        <v>3</v>
      </c>
      <c r="D20" s="9" t="n">
        <v>2</v>
      </c>
      <c r="E20" s="10">
        <f>B20*$B6+C20*$C6+D20*$D6</f>
        <v/>
      </c>
    </row>
    <row r="21">
      <c r="A21" s="11" t="inlineStr">
        <is>
          <t xml:space="preserve">  Subtotal</t>
        </is>
      </c>
      <c r="B21" s="12">
        <f>SUM(B19:B20)</f>
        <v/>
      </c>
      <c r="C21" s="12">
        <f>SUM(C19:C20)</f>
        <v/>
      </c>
      <c r="D21" s="12">
        <f>SUM(D19:D20)</f>
        <v/>
      </c>
      <c r="E21" s="13">
        <f>SUM(E19:E20)</f>
        <v/>
      </c>
    </row>
    <row r="22"/>
    <row r="23">
      <c r="A23" s="14" t="inlineStr">
        <is>
          <t>TOTAL HOURS &amp; COST</t>
        </is>
      </c>
      <c r="B23" s="15">
        <f>B10+B16+B21</f>
        <v/>
      </c>
      <c r="C23" s="15">
        <f>C10+C16+C21</f>
        <v/>
      </c>
      <c r="D23" s="15">
        <f>D10+D16+D21</f>
        <v/>
      </c>
      <c r="E23" s="16">
        <f>B23*$B6+C23*$C6+D23*$D6</f>
        <v/>
      </c>
    </row>
    <row r="24">
      <c r="A24" s="17" t="inlineStr">
        <is>
          <t>Total Hours:</t>
        </is>
      </c>
      <c r="B24" s="18">
        <f>B23+C23+D23</f>
        <v/>
      </c>
    </row>
  </sheetData>
  <mergeCells count="6"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 3: Zweekhorst – Ommen</t>
        </is>
      </c>
    </row>
    <row r="2">
      <c r="A2" s="2" t="inlineStr">
        <is>
          <t>Budget Range: € 7,500.00 - € 9,500.00</t>
        </is>
      </c>
    </row>
    <row r="3">
      <c r="A3" s="2" t="inlineStr">
        <is>
          <t>DNV 2026 Rates: Professional €145/h | Senior €189/h | Principal €231/h</t>
        </is>
      </c>
    </row>
    <row r="5">
      <c r="A5" s="3" t="inlineStr">
        <is>
          <t>Work Package / Task</t>
        </is>
      </c>
      <c r="B5" s="3" t="inlineStr">
        <is>
          <t>Professional Hours</t>
        </is>
      </c>
      <c r="C5" s="3" t="inlineStr">
        <is>
          <t>Senior Hours</t>
        </is>
      </c>
      <c r="D5" s="3" t="inlineStr">
        <is>
          <t>Principal Hours</t>
        </is>
      </c>
      <c r="E5" s="3" t="inlineStr">
        <is>
          <t>Contract Price</t>
        </is>
      </c>
    </row>
    <row r="6">
      <c r="A6" s="4" t="inlineStr">
        <is>
          <t>Hourly Rates →</t>
        </is>
      </c>
      <c r="B6" s="5" t="n">
        <v>145</v>
      </c>
      <c r="C6" s="5" t="n">
        <v>189</v>
      </c>
      <c r="D6" s="5" t="n">
        <v>231</v>
      </c>
      <c r="E6" s="6" t="inlineStr">
        <is>
          <t>(Formulas calculate automatically)</t>
        </is>
      </c>
    </row>
    <row r="7">
      <c r="A7" s="7" t="inlineStr">
        <is>
          <t>2.1 Project Management &amp; Stakeholder Engagement</t>
        </is>
      </c>
    </row>
    <row r="8">
      <c r="A8" s="8" t="inlineStr">
        <is>
          <t xml:space="preserve">  Project Management &amp; Meetings</t>
        </is>
      </c>
      <c r="B8" s="9" t="n">
        <v>10</v>
      </c>
      <c r="C8" s="9" t="n">
        <v>4</v>
      </c>
      <c r="D8" s="9" t="n">
        <v>1</v>
      </c>
      <c r="E8" s="10">
        <f>B8*$B6+C8*$C6+D8*$D6</f>
        <v/>
      </c>
    </row>
    <row r="9">
      <c r="A9" s="8" t="inlineStr">
        <is>
          <t xml:space="preserve">  Stakeholder Consultation &amp; Data Gathering</t>
        </is>
      </c>
      <c r="B9" s="9" t="n">
        <v>4</v>
      </c>
      <c r="C9" s="9" t="n">
        <v>2</v>
      </c>
      <c r="D9" s="9" t="n">
        <v>0</v>
      </c>
      <c r="E9" s="10">
        <f>B9*$B6+C9*$C6+D9*$D6</f>
        <v/>
      </c>
    </row>
    <row r="10">
      <c r="A10" s="11" t="inlineStr">
        <is>
          <t xml:space="preserve">  Subtotal</t>
        </is>
      </c>
      <c r="B10" s="12">
        <f>SUM(B8:B9)</f>
        <v/>
      </c>
      <c r="C10" s="12">
        <f>SUM(C8:C9)</f>
        <v/>
      </c>
      <c r="D10" s="12">
        <f>SUM(D8:D9)</f>
        <v/>
      </c>
      <c r="E10" s="13">
        <f>SUM(E8:E9)</f>
        <v/>
      </c>
    </row>
    <row r="11"/>
    <row r="12">
      <c r="A12" s="7" t="inlineStr">
        <is>
          <t>2.2 Comprehensive Modeling &amp; Analysis</t>
        </is>
      </c>
    </row>
    <row r="13">
      <c r="A13" s="8" t="inlineStr">
        <is>
          <t xml:space="preserve">  Build Models (150kV TenneT OS-UD, OST-BXT Cables 1+2)</t>
        </is>
      </c>
      <c r="B13" s="9" t="n">
        <v>18</v>
      </c>
      <c r="C13" s="9" t="n">
        <v>12</v>
      </c>
      <c r="D13" s="9" t="n">
        <v>3</v>
      </c>
      <c r="E13" s="10">
        <f>B13*$B6+C13*$C6+D13*$D6</f>
        <v/>
      </c>
    </row>
    <row r="14">
      <c r="A14" s="8" t="inlineStr">
        <is>
          <t xml:space="preserve">  Model 1x 10kV Cable Parallelism (Liander B)</t>
        </is>
      </c>
      <c r="B14" s="9" t="n">
        <v>4</v>
      </c>
      <c r="C14" s="9" t="n">
        <v>2</v>
      </c>
      <c r="D14" s="9" t="n">
        <v>0</v>
      </c>
      <c r="E14" s="10">
        <f>B14*$B6+C14*$C6+D14*$D6</f>
        <v/>
      </c>
    </row>
    <row r="15">
      <c r="A15" s="8" t="inlineStr">
        <is>
          <t xml:space="preserve">  AC Corrosion &amp; Touch Voltage Calculations</t>
        </is>
      </c>
      <c r="B15" s="9" t="n">
        <v>4</v>
      </c>
      <c r="C15" s="9" t="n">
        <v>3</v>
      </c>
      <c r="D15" s="9" t="n">
        <v>1</v>
      </c>
      <c r="E15" s="10">
        <f>B15*$B6+C15*$C6+D15*$D6</f>
        <v/>
      </c>
    </row>
    <row r="16">
      <c r="A16" s="11" t="inlineStr">
        <is>
          <t xml:space="preserve">  Subtotal</t>
        </is>
      </c>
      <c r="B16" s="12">
        <f>SUM(B13:B15)</f>
        <v/>
      </c>
      <c r="C16" s="12">
        <f>SUM(C13:C15)</f>
        <v/>
      </c>
      <c r="D16" s="12">
        <f>SUM(D13:D15)</f>
        <v/>
      </c>
      <c r="E16" s="13">
        <f>SUM(E13:E15)</f>
        <v/>
      </c>
    </row>
    <row r="17"/>
    <row r="18">
      <c r="A18" s="7" t="inlineStr">
        <is>
          <t>2.3 Final Reporting &amp; Close-out</t>
        </is>
      </c>
    </row>
    <row r="19">
      <c r="A19" s="8" t="inlineStr">
        <is>
          <t xml:space="preserve">  Final Report Preparation &amp; Presentation</t>
        </is>
      </c>
      <c r="B19" s="9" t="n">
        <v>8</v>
      </c>
      <c r="C19" s="9" t="n">
        <v>5</v>
      </c>
      <c r="D19" s="9" t="n">
        <v>1</v>
      </c>
      <c r="E19" s="10">
        <f>B19*$B6+C19*$C6+D19*$D6</f>
        <v/>
      </c>
    </row>
    <row r="20">
      <c r="A20" s="8" t="inlineStr">
        <is>
          <t xml:space="preserve">  Contingency</t>
        </is>
      </c>
      <c r="B20" s="9" t="n">
        <v>4</v>
      </c>
      <c r="C20" s="9" t="n">
        <v>2</v>
      </c>
      <c r="D20" s="9" t="n">
        <v>1</v>
      </c>
      <c r="E20" s="10">
        <f>B20*$B6+C20*$C6+D20*$D6</f>
        <v/>
      </c>
    </row>
    <row r="21">
      <c r="A21" s="11" t="inlineStr">
        <is>
          <t xml:space="preserve">  Subtotal</t>
        </is>
      </c>
      <c r="B21" s="12">
        <f>SUM(B19:B20)</f>
        <v/>
      </c>
      <c r="C21" s="12">
        <f>SUM(C19:C20)</f>
        <v/>
      </c>
      <c r="D21" s="12">
        <f>SUM(D19:D20)</f>
        <v/>
      </c>
      <c r="E21" s="13">
        <f>SUM(E19:E20)</f>
        <v/>
      </c>
    </row>
    <row r="22"/>
    <row r="23">
      <c r="A23" s="14" t="inlineStr">
        <is>
          <t>TOTAL HOURS &amp; COST</t>
        </is>
      </c>
      <c r="B23" s="15">
        <f>B10+B16+B21</f>
        <v/>
      </c>
      <c r="C23" s="15">
        <f>C10+C16+C21</f>
        <v/>
      </c>
      <c r="D23" s="15">
        <f>D10+D16+D21</f>
        <v/>
      </c>
      <c r="E23" s="16">
        <f>B23*$B6+C23*$C6+D23*$D6</f>
        <v/>
      </c>
    </row>
    <row r="24">
      <c r="A24" s="17" t="inlineStr">
        <is>
          <t>Total Hours:</t>
        </is>
      </c>
      <c r="B24" s="18">
        <f>B23+C23+D23</f>
        <v/>
      </c>
    </row>
  </sheetData>
  <mergeCells count="6"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2025-12-12T15:51:06Z</dcterms:created>
  <dcterms:modified xmlns:dcterms="http://purl.org/dc/terms/" xmlns:xsi="http://www.w3.org/2001/XMLSchema-instance" xsi:type="dcterms:W3CDTF">2025-12-12T15:51:06Z</dcterms:modified>
</cp:coreProperties>
</file>