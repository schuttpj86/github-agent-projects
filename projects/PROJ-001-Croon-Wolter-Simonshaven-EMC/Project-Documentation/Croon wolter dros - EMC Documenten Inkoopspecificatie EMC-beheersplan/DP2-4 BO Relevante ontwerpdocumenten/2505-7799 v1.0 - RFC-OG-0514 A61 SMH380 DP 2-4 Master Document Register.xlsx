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328"/>
  <workbookPr defaultThemeVersion="166925"/>
  <mc:AlternateContent xmlns:mc="http://schemas.openxmlformats.org/markup-compatibility/2006">
    <mc:Choice Requires="x15">
      <x15ac:absPath xmlns:x15ac="http://schemas.microsoft.com/office/spreadsheetml/2010/11/ac" url="C:\LWS\300294\M-Alp-app00132.alfa.local,D-Projecten2\01 Projecten\003.215.20\RAA_BO 0001\Techniek\04 VS1 SMH380 Fase 4\04 MDR\"/>
    </mc:Choice>
  </mc:AlternateContent>
  <xr:revisionPtr revIDLastSave="0" documentId="13_ncr:1_{66583249-8996-4629-8088-1186146F30F1}" xr6:coauthVersionLast="47" xr6:coauthVersionMax="47" xr10:uidLastSave="{00000000-0000-0000-0000-000000000000}"/>
  <bookViews>
    <workbookView xWindow="-28920" yWindow="-120" windowWidth="29040" windowHeight="15720" tabRatio="556" xr2:uid="{00000000-000D-0000-FFFF-FFFF00000000}"/>
  </bookViews>
  <sheets>
    <sheet name="SMH380 VS1 DP2-4" sheetId="3" r:id="rId1"/>
    <sheet name="Blad1" sheetId="4" r:id="rId2"/>
  </sheets>
  <definedNames>
    <definedName name="_xlnm._FilterDatabase" localSheetId="0" hidden="1">'SMH380 VS1 DP2-4'!$D$11:$P$289</definedName>
    <definedName name="GRTH_v2">#REF!</definedName>
    <definedName name="_xlnm.Print_Area" localSheetId="0">'SMH380 VS1 DP2-4'!$B$2:$Q$290</definedName>
    <definedName name="_xlnm.Print_Titles" localSheetId="0">'SMH380 VS1 DP2-4'!$2:$12</definedName>
    <definedName name="Status" localSheetId="0">#REF!</definedName>
    <definedName name="Status">#REF!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164" i="3" l="1"/>
  <c r="K164" i="3"/>
  <c r="K46" i="3"/>
  <c r="L60" i="3" l="1"/>
  <c r="L270" i="3"/>
  <c r="K270" i="3"/>
  <c r="L268" i="3"/>
  <c r="K268" i="3"/>
  <c r="L126" i="3"/>
  <c r="K126" i="3"/>
  <c r="L166" i="3"/>
  <c r="K166" i="3"/>
  <c r="L257" i="3"/>
  <c r="L259" i="3"/>
  <c r="L260" i="3"/>
  <c r="L261" i="3"/>
  <c r="K261" i="3"/>
  <c r="K260" i="3"/>
  <c r="K259" i="3"/>
  <c r="K257" i="3"/>
  <c r="L262" i="3"/>
  <c r="L263" i="3"/>
  <c r="L264" i="3"/>
  <c r="L265" i="3"/>
  <c r="L266" i="3"/>
  <c r="L267" i="3"/>
  <c r="K266" i="3"/>
  <c r="K267" i="3"/>
  <c r="K265" i="3"/>
  <c r="K264" i="3"/>
  <c r="K263" i="3"/>
  <c r="K262" i="3"/>
  <c r="K203" i="3"/>
  <c r="L203" i="3"/>
  <c r="K216" i="3"/>
  <c r="L216" i="3"/>
  <c r="K230" i="3"/>
  <c r="L230" i="3"/>
  <c r="K198" i="3"/>
  <c r="L198" i="3"/>
  <c r="K201" i="3"/>
  <c r="L201" i="3"/>
  <c r="L15" i="3"/>
  <c r="L108" i="3"/>
  <c r="K108" i="3"/>
  <c r="L256" i="3"/>
  <c r="K256" i="3"/>
  <c r="L255" i="3"/>
  <c r="K255" i="3"/>
  <c r="L254" i="3"/>
  <c r="K254" i="3"/>
  <c r="L253" i="3"/>
  <c r="K253" i="3"/>
  <c r="L252" i="3"/>
  <c r="K252" i="3"/>
  <c r="L251" i="3"/>
  <c r="K251" i="3"/>
  <c r="L250" i="3"/>
  <c r="K250" i="3"/>
  <c r="L249" i="3"/>
  <c r="K249" i="3"/>
  <c r="L248" i="3"/>
  <c r="K248" i="3"/>
  <c r="L246" i="3"/>
  <c r="K246" i="3"/>
  <c r="L245" i="3"/>
  <c r="K245" i="3"/>
  <c r="L244" i="3"/>
  <c r="K244" i="3"/>
  <c r="L243" i="3"/>
  <c r="K243" i="3"/>
  <c r="L242" i="3"/>
  <c r="K242" i="3"/>
  <c r="L241" i="3"/>
  <c r="K241" i="3"/>
  <c r="L240" i="3"/>
  <c r="K240" i="3"/>
  <c r="L239" i="3"/>
  <c r="K239" i="3"/>
  <c r="L238" i="3"/>
  <c r="K238" i="3"/>
  <c r="L237" i="3"/>
  <c r="K237" i="3"/>
  <c r="L235" i="3"/>
  <c r="K235" i="3"/>
  <c r="L234" i="3"/>
  <c r="K234" i="3"/>
  <c r="L233" i="3"/>
  <c r="K233" i="3"/>
  <c r="L232" i="3"/>
  <c r="K232" i="3"/>
  <c r="L231" i="3"/>
  <c r="K231" i="3"/>
  <c r="L229" i="3"/>
  <c r="K229" i="3"/>
  <c r="L228" i="3"/>
  <c r="K228" i="3"/>
  <c r="L227" i="3"/>
  <c r="K227" i="3"/>
  <c r="L226" i="3"/>
  <c r="K226" i="3"/>
  <c r="L225" i="3"/>
  <c r="K225" i="3"/>
  <c r="L223" i="3"/>
  <c r="K223" i="3"/>
  <c r="L222" i="3"/>
  <c r="K222" i="3"/>
  <c r="L221" i="3"/>
  <c r="K221" i="3"/>
  <c r="L220" i="3"/>
  <c r="K220" i="3"/>
  <c r="L219" i="3"/>
  <c r="K219" i="3"/>
  <c r="L218" i="3"/>
  <c r="K218" i="3"/>
  <c r="L217" i="3"/>
  <c r="K217" i="3"/>
  <c r="L215" i="3"/>
  <c r="K215" i="3"/>
  <c r="L214" i="3"/>
  <c r="K214" i="3"/>
  <c r="L213" i="3"/>
  <c r="K213" i="3"/>
  <c r="L211" i="3"/>
  <c r="K211" i="3"/>
  <c r="L210" i="3"/>
  <c r="K210" i="3"/>
  <c r="L209" i="3"/>
  <c r="K209" i="3"/>
  <c r="L208" i="3"/>
  <c r="K208" i="3"/>
  <c r="L207" i="3"/>
  <c r="K207" i="3"/>
  <c r="L206" i="3"/>
  <c r="K206" i="3"/>
  <c r="L205" i="3"/>
  <c r="K205" i="3"/>
  <c r="L204" i="3"/>
  <c r="K204" i="3"/>
  <c r="L202" i="3"/>
  <c r="K202" i="3"/>
  <c r="L200" i="3"/>
  <c r="K200" i="3"/>
  <c r="L197" i="3"/>
  <c r="K197" i="3"/>
  <c r="L196" i="3"/>
  <c r="K196" i="3"/>
  <c r="L195" i="3"/>
  <c r="K195" i="3"/>
  <c r="L194" i="3"/>
  <c r="K194" i="3"/>
  <c r="L193" i="3"/>
  <c r="K193" i="3"/>
  <c r="L58" i="3"/>
  <c r="L57" i="3"/>
  <c r="L56" i="3"/>
  <c r="L55" i="3"/>
  <c r="L54" i="3"/>
  <c r="L53" i="3"/>
  <c r="L52" i="3"/>
  <c r="L51" i="3"/>
  <c r="L50" i="3"/>
  <c r="L49" i="3"/>
  <c r="L47" i="3"/>
  <c r="L46" i="3"/>
  <c r="L45" i="3"/>
  <c r="L44" i="3"/>
  <c r="L43" i="3"/>
  <c r="L42" i="3"/>
  <c r="L41" i="3"/>
  <c r="L40" i="3"/>
  <c r="L39" i="3"/>
  <c r="L37" i="3"/>
  <c r="L36" i="3"/>
  <c r="L35" i="3"/>
  <c r="L34" i="3"/>
  <c r="L33" i="3"/>
  <c r="L32" i="3"/>
  <c r="L31" i="3"/>
  <c r="L30" i="3"/>
  <c r="L29" i="3"/>
  <c r="L28" i="3"/>
  <c r="L27" i="3"/>
  <c r="K31" i="3"/>
  <c r="K32" i="3"/>
  <c r="K33" i="3"/>
  <c r="K34" i="3"/>
  <c r="K35" i="3"/>
  <c r="K36" i="3"/>
  <c r="K37" i="3"/>
  <c r="K39" i="3"/>
  <c r="K40" i="3"/>
  <c r="K41" i="3"/>
  <c r="K42" i="3"/>
  <c r="K43" i="3"/>
  <c r="K44" i="3"/>
  <c r="K45" i="3"/>
  <c r="K47" i="3"/>
  <c r="K49" i="3"/>
  <c r="K50" i="3"/>
  <c r="K51" i="3"/>
  <c r="K52" i="3"/>
  <c r="K53" i="3"/>
  <c r="K54" i="3"/>
  <c r="K55" i="3"/>
  <c r="K56" i="3"/>
  <c r="K57" i="3"/>
  <c r="K58" i="3"/>
  <c r="K60" i="3"/>
  <c r="K61" i="3"/>
  <c r="K27" i="3"/>
  <c r="K28" i="3"/>
  <c r="K29" i="3"/>
  <c r="K30" i="3"/>
  <c r="L163" i="3" l="1"/>
  <c r="K163" i="3"/>
  <c r="L162" i="3"/>
  <c r="K162" i="3"/>
  <c r="L161" i="3"/>
  <c r="K161" i="3"/>
  <c r="L107" i="3"/>
  <c r="K107" i="3"/>
  <c r="L104" i="3"/>
  <c r="L105" i="3"/>
  <c r="K104" i="3"/>
  <c r="K105" i="3"/>
  <c r="K103" i="3"/>
  <c r="L103" i="3"/>
  <c r="L102" i="3"/>
  <c r="K102" i="3"/>
  <c r="L101" i="3"/>
  <c r="K101" i="3"/>
  <c r="L100" i="3"/>
  <c r="K100" i="3"/>
  <c r="L99" i="3"/>
  <c r="K99" i="3"/>
  <c r="L98" i="3"/>
  <c r="K98" i="3"/>
  <c r="L97" i="3"/>
  <c r="K97" i="3"/>
  <c r="L96" i="3"/>
  <c r="K96" i="3"/>
  <c r="L94" i="3"/>
  <c r="K94" i="3"/>
  <c r="L93" i="3"/>
  <c r="K93" i="3"/>
  <c r="L92" i="3"/>
  <c r="K92" i="3"/>
  <c r="L91" i="3"/>
  <c r="K91" i="3"/>
  <c r="L90" i="3"/>
  <c r="K90" i="3"/>
  <c r="L89" i="3"/>
  <c r="K89" i="3"/>
  <c r="L88" i="3"/>
  <c r="K88" i="3"/>
  <c r="L87" i="3"/>
  <c r="K87" i="3"/>
  <c r="L86" i="3"/>
  <c r="K86" i="3"/>
  <c r="L85" i="3"/>
  <c r="K85" i="3"/>
  <c r="L160" i="3"/>
  <c r="L187" i="3"/>
  <c r="K187" i="3"/>
  <c r="L186" i="3"/>
  <c r="K186" i="3"/>
  <c r="L83" i="3"/>
  <c r="K83" i="3"/>
  <c r="L82" i="3"/>
  <c r="K82" i="3"/>
  <c r="L81" i="3"/>
  <c r="K81" i="3"/>
  <c r="L80" i="3"/>
  <c r="K80" i="3"/>
  <c r="L79" i="3"/>
  <c r="K79" i="3"/>
  <c r="L78" i="3"/>
  <c r="K78" i="3"/>
  <c r="K22" i="3"/>
  <c r="L22" i="3"/>
  <c r="K21" i="3"/>
  <c r="L21" i="3"/>
  <c r="K160" i="3"/>
  <c r="L183" i="3"/>
  <c r="K182" i="3"/>
  <c r="L182" i="3"/>
  <c r="L158" i="3" l="1"/>
  <c r="L159" i="3"/>
  <c r="K158" i="3"/>
  <c r="K159" i="3"/>
  <c r="K183" i="3"/>
  <c r="K157" i="3"/>
  <c r="L157" i="3"/>
  <c r="L149" i="3"/>
  <c r="L150" i="3"/>
  <c r="L151" i="3"/>
  <c r="L152" i="3"/>
  <c r="L154" i="3"/>
  <c r="L155" i="3"/>
  <c r="L156" i="3"/>
  <c r="K149" i="3"/>
  <c r="K150" i="3"/>
  <c r="K151" i="3"/>
  <c r="K152" i="3"/>
  <c r="K154" i="3"/>
  <c r="K155" i="3"/>
  <c r="K156" i="3"/>
  <c r="L148" i="3"/>
  <c r="K148" i="3"/>
  <c r="K69" i="3"/>
  <c r="L69" i="3"/>
  <c r="L287" i="3"/>
  <c r="L282" i="3"/>
  <c r="K282" i="3"/>
  <c r="L280" i="3"/>
  <c r="K280" i="3"/>
  <c r="L279" i="3"/>
  <c r="K279" i="3"/>
  <c r="L278" i="3"/>
  <c r="K278" i="3"/>
  <c r="L274" i="3"/>
  <c r="K274" i="3"/>
  <c r="L147" i="3"/>
  <c r="K147" i="3"/>
  <c r="L146" i="3"/>
  <c r="K146" i="3"/>
  <c r="K20" i="3"/>
  <c r="L20" i="3"/>
  <c r="L67" i="3"/>
  <c r="K67" i="3"/>
  <c r="L66" i="3"/>
  <c r="K66" i="3"/>
  <c r="L65" i="3"/>
  <c r="K65" i="3"/>
  <c r="L64" i="3"/>
  <c r="K64" i="3"/>
  <c r="L63" i="3"/>
  <c r="K63" i="3"/>
  <c r="L62" i="3"/>
  <c r="K62" i="3"/>
  <c r="L18" i="3"/>
  <c r="K18" i="3"/>
  <c r="L17" i="3"/>
  <c r="K17" i="3"/>
  <c r="K116" i="3"/>
  <c r="L116" i="3"/>
  <c r="K192" i="3"/>
  <c r="K191" i="3"/>
  <c r="K190" i="3"/>
  <c r="K189" i="3"/>
  <c r="L190" i="3"/>
  <c r="L191" i="3"/>
  <c r="L192" i="3"/>
  <c r="L185" i="3"/>
  <c r="L189" i="3"/>
  <c r="K133" i="3"/>
  <c r="L135" i="3"/>
  <c r="L139" i="3"/>
  <c r="K139" i="3"/>
  <c r="L129" i="3"/>
  <c r="K129" i="3"/>
  <c r="L137" i="3"/>
  <c r="L138" i="3"/>
  <c r="K137" i="3"/>
  <c r="K138" i="3"/>
  <c r="L272" i="3"/>
  <c r="K272" i="3"/>
  <c r="L273" i="3"/>
  <c r="K273" i="3"/>
  <c r="K277" i="3"/>
  <c r="L181" i="3"/>
  <c r="K181" i="3"/>
  <c r="L136" i="3"/>
  <c r="K136" i="3"/>
  <c r="K135" i="3"/>
  <c r="K185" i="3"/>
  <c r="L286" i="3"/>
  <c r="K286" i="3"/>
  <c r="K122" i="3"/>
  <c r="L122" i="3"/>
  <c r="K120" i="3"/>
  <c r="L120" i="3"/>
  <c r="K118" i="3"/>
  <c r="L118" i="3"/>
  <c r="K130" i="3"/>
  <c r="L130" i="3"/>
  <c r="K132" i="3"/>
  <c r="L132" i="3"/>
  <c r="L133" i="3"/>
  <c r="K134" i="3"/>
  <c r="L134" i="3"/>
  <c r="L285" i="3"/>
  <c r="K285" i="3"/>
  <c r="K287" i="3"/>
  <c r="L180" i="3"/>
  <c r="K180" i="3"/>
  <c r="L75" i="3"/>
  <c r="K75" i="3"/>
  <c r="L74" i="3"/>
  <c r="K74" i="3"/>
  <c r="L73" i="3"/>
  <c r="K73" i="3"/>
  <c r="K72" i="3"/>
  <c r="L72" i="3"/>
  <c r="L25" i="3"/>
  <c r="K143" i="3"/>
  <c r="L143" i="3"/>
  <c r="K140" i="3"/>
  <c r="L140" i="3"/>
  <c r="L277" i="3"/>
  <c r="L276" i="3"/>
  <c r="K276" i="3"/>
  <c r="L275" i="3"/>
  <c r="K275" i="3"/>
  <c r="K172" i="3"/>
  <c r="L172" i="3"/>
  <c r="K173" i="3"/>
  <c r="L173" i="3"/>
  <c r="K174" i="3"/>
  <c r="L174" i="3"/>
  <c r="K171" i="3"/>
  <c r="L171" i="3"/>
  <c r="K168" i="3"/>
  <c r="L168" i="3"/>
  <c r="K127" i="3"/>
  <c r="L127" i="3"/>
  <c r="K128" i="3"/>
  <c r="L128" i="3"/>
  <c r="K125" i="3"/>
  <c r="L125" i="3"/>
  <c r="L123" i="3"/>
  <c r="K123" i="3"/>
  <c r="H70" i="3"/>
  <c r="L70" i="3" s="1"/>
  <c r="K114" i="3"/>
  <c r="L114" i="3"/>
  <c r="L176" i="3"/>
  <c r="L175" i="3"/>
  <c r="L178" i="3"/>
  <c r="L76" i="3"/>
  <c r="L71" i="3"/>
  <c r="K76" i="3"/>
  <c r="K71" i="3"/>
  <c r="L14" i="3"/>
  <c r="K14" i="3"/>
  <c r="L179" i="3"/>
  <c r="K179" i="3"/>
  <c r="K176" i="3"/>
  <c r="K175" i="3"/>
  <c r="K178" i="3"/>
  <c r="L169" i="3"/>
  <c r="K169" i="3"/>
  <c r="L284" i="3"/>
  <c r="K284" i="3"/>
  <c r="L121" i="3"/>
  <c r="K121" i="3"/>
  <c r="L117" i="3"/>
  <c r="K117" i="3"/>
  <c r="L115" i="3"/>
  <c r="K115" i="3"/>
  <c r="K70" i="3"/>
  <c r="K112" i="3"/>
  <c r="K110" i="3"/>
  <c r="K111" i="3"/>
  <c r="K124" i="3"/>
  <c r="K145" i="3"/>
  <c r="K141" i="3"/>
  <c r="K113" i="3"/>
  <c r="K25" i="3"/>
  <c r="K24" i="3"/>
  <c r="L112" i="3"/>
  <c r="L110" i="3"/>
  <c r="L111" i="3"/>
  <c r="L124" i="3"/>
  <c r="L145" i="3"/>
  <c r="L141" i="3"/>
  <c r="L113" i="3"/>
  <c r="L24" i="3"/>
</calcChain>
</file>

<file path=xl/sharedStrings.xml><?xml version="1.0" encoding="utf-8"?>
<sst xmlns="http://schemas.openxmlformats.org/spreadsheetml/2006/main" count="2197" uniqueCount="790">
  <si>
    <t>Status</t>
  </si>
  <si>
    <t>Project:</t>
  </si>
  <si>
    <t xml:space="preserve">Phase 2-4 Expansion 380kV Station Simonshaven </t>
  </si>
  <si>
    <t>CONCEPT</t>
  </si>
  <si>
    <t>Document is onderhanden en wordt nog aangepast</t>
  </si>
  <si>
    <t>Placement of 3 Transformers and 3 Shunt Reactors</t>
  </si>
  <si>
    <t>VOORLOPIG</t>
  </si>
  <si>
    <t>Document is gereed en moet nog gecheckt worden</t>
  </si>
  <si>
    <t>Project number:</t>
  </si>
  <si>
    <t>003.215.40</t>
  </si>
  <si>
    <t>VOOR BO</t>
  </si>
  <si>
    <t>Document is gereed en kan worden ge-upload in Meridian voor review BO</t>
  </si>
  <si>
    <t>Document:</t>
  </si>
  <si>
    <t>Master Document Register (MDR)</t>
  </si>
  <si>
    <t>VOOR VS1</t>
  </si>
  <si>
    <t>Document is gereed en kan worden ge-upload in Meridian voor review Vraagspecificatie</t>
  </si>
  <si>
    <t>Document number:</t>
  </si>
  <si>
    <t>BO-01350-04-999</t>
  </si>
  <si>
    <t>Date:</t>
  </si>
  <si>
    <t>Version</t>
  </si>
  <si>
    <t>1.1</t>
  </si>
  <si>
    <t>RFA Nummer</t>
  </si>
  <si>
    <t>Bijlagenummer 
UAV-GC</t>
  </si>
  <si>
    <t>Station</t>
  </si>
  <si>
    <t>Timing</t>
  </si>
  <si>
    <t>Title/Topic</t>
  </si>
  <si>
    <t>Revision number</t>
  </si>
  <si>
    <t>Revision Date</t>
  </si>
  <si>
    <t>Filename and appendix name for meridian</t>
  </si>
  <si>
    <t>Bestandsnaam en bijlagenaam UAV-GC</t>
  </si>
  <si>
    <t>Meridian number</t>
  </si>
  <si>
    <t>TenneT number titleblock new documentation</t>
  </si>
  <si>
    <t>Bindend/Informatief</t>
  </si>
  <si>
    <t xml:space="preserve">Comment
</t>
  </si>
  <si>
    <t>-/-</t>
  </si>
  <si>
    <t>SMH380</t>
  </si>
  <si>
    <t>DP 2-4</t>
  </si>
  <si>
    <t>Vraagspecificatie Deel 1 Extension existing Substation</t>
  </si>
  <si>
    <t>0.0</t>
  </si>
  <si>
    <t>BO-01350-04-099</t>
  </si>
  <si>
    <t>Bindend</t>
  </si>
  <si>
    <t>A01</t>
  </si>
  <si>
    <t>Stakeholder Analysis</t>
  </si>
  <si>
    <t>1.0</t>
  </si>
  <si>
    <t>2024-01-16</t>
  </si>
  <si>
    <t>BO-01350-04-005</t>
  </si>
  <si>
    <t>A02</t>
  </si>
  <si>
    <t>Context Diagram</t>
  </si>
  <si>
    <t>1.2</t>
  </si>
  <si>
    <t>A03</t>
  </si>
  <si>
    <t>Niet gebruikt</t>
  </si>
  <si>
    <t>A04</t>
  </si>
  <si>
    <t>TenneT Specific Standards</t>
  </si>
  <si>
    <t>2024-02-01</t>
  </si>
  <si>
    <t>BO-01350-04-100</t>
  </si>
  <si>
    <t>A05</t>
  </si>
  <si>
    <t>Voorlopige IDO Lijst</t>
  </si>
  <si>
    <t>-.-</t>
  </si>
  <si>
    <t>2022-10-14</t>
  </si>
  <si>
    <t>nvt</t>
  </si>
  <si>
    <t>A06</t>
  </si>
  <si>
    <t>Voorlopige IDO Lijst Omliggende Stations</t>
  </si>
  <si>
    <t>A07</t>
  </si>
  <si>
    <t>A08</t>
  </si>
  <si>
    <t>V en G Plan Ontwerpfase</t>
  </si>
  <si>
    <t>3.0</t>
  </si>
  <si>
    <t>2023-11-27</t>
  </si>
  <si>
    <t>BO-01350-04-021</t>
  </si>
  <si>
    <t>A09</t>
  </si>
  <si>
    <t>Naamgeving</t>
  </si>
  <si>
    <t>2023-11-03</t>
  </si>
  <si>
    <t>BO-01350-04-024</t>
  </si>
  <si>
    <t>A10</t>
  </si>
  <si>
    <t>Advies DCMR 1464986</t>
  </si>
  <si>
    <t>2022-07-08</t>
  </si>
  <si>
    <t>Informatief</t>
  </si>
  <si>
    <t>A11</t>
  </si>
  <si>
    <t>Gemeente Rotterdam toestemming Archeologie</t>
  </si>
  <si>
    <t>2022-08-31</t>
  </si>
  <si>
    <t>A12</t>
  </si>
  <si>
    <t>SWE Vormvrije M.E.R. Beoordeling</t>
  </si>
  <si>
    <t>2023-10-07</t>
  </si>
  <si>
    <t>A13</t>
  </si>
  <si>
    <t>A14</t>
  </si>
  <si>
    <t>DUV Landschappelijke inpassingsplan</t>
  </si>
  <si>
    <t>A15</t>
  </si>
  <si>
    <t xml:space="preserve">PEU Akoestisch onderzoek </t>
  </si>
  <si>
    <t>2022-10-18</t>
  </si>
  <si>
    <t>A16</t>
  </si>
  <si>
    <t>Kapmelding</t>
  </si>
  <si>
    <t>2023-02-10</t>
  </si>
  <si>
    <t>A17</t>
  </si>
  <si>
    <t>Notitie AERIUS-Berekening Simonshaven</t>
  </si>
  <si>
    <t>D4</t>
  </si>
  <si>
    <t>A18</t>
  </si>
  <si>
    <t>Bemalingsadvies</t>
  </si>
  <si>
    <t>D0</t>
  </si>
  <si>
    <t>A19</t>
  </si>
  <si>
    <t>Bomeninventarisatie</t>
  </si>
  <si>
    <t>D1</t>
  </si>
  <si>
    <t>A20</t>
  </si>
  <si>
    <t>Bureauonderzoek Archeologie</t>
  </si>
  <si>
    <t>D2</t>
  </si>
  <si>
    <t>A21</t>
  </si>
  <si>
    <t>Bureauonderzoek Archeologie Notitie</t>
  </si>
  <si>
    <t>A22</t>
  </si>
  <si>
    <t>Bureauonderzoek Explosieven</t>
  </si>
  <si>
    <t>A23</t>
  </si>
  <si>
    <t>Bureauonderzoek Milieu hygienisch</t>
  </si>
  <si>
    <t>A1</t>
  </si>
  <si>
    <t>A24</t>
  </si>
  <si>
    <t>Cultuurtechnisch Onderzoek</t>
  </si>
  <si>
    <t>A25</t>
  </si>
  <si>
    <t>Geo-elektrisch Meetrapport</t>
  </si>
  <si>
    <t>2.0</t>
  </si>
  <si>
    <t>A26</t>
  </si>
  <si>
    <t>Geo-elektrisch Meetdata</t>
  </si>
  <si>
    <t>A27</t>
  </si>
  <si>
    <t>Geohydrologisch Onderzoek</t>
  </si>
  <si>
    <t>A28</t>
  </si>
  <si>
    <t>Geotechnisch Advies</t>
  </si>
  <si>
    <t>A29</t>
  </si>
  <si>
    <t>Geothermisch Onderzoek</t>
  </si>
  <si>
    <t>A30</t>
  </si>
  <si>
    <t>Grondmechanische Rapport</t>
  </si>
  <si>
    <t>A31</t>
  </si>
  <si>
    <t>Grondmechanische Rapport GEF Bestanden</t>
  </si>
  <si>
    <t>A32</t>
  </si>
  <si>
    <t>Grondonderzoek Boorplannen(Kaart 1-6)</t>
  </si>
  <si>
    <t>A33</t>
  </si>
  <si>
    <t>Landmeetkundige opname</t>
  </si>
  <si>
    <t>D3</t>
  </si>
  <si>
    <t>A34</t>
  </si>
  <si>
    <t>Verkennend Bodem- en Wateronderzoek</t>
  </si>
  <si>
    <t>A35</t>
  </si>
  <si>
    <t>Proefsleuven Onderzoek</t>
  </si>
  <si>
    <t>A36</t>
  </si>
  <si>
    <t>Verhardingsonderzoek Asfalt</t>
  </si>
  <si>
    <t>A37</t>
  </si>
  <si>
    <t>Verkennend Natuuronderzoek</t>
  </si>
  <si>
    <t>D5</t>
  </si>
  <si>
    <t>A38</t>
  </si>
  <si>
    <t>Aanvullend Natuuronderzoek</t>
  </si>
  <si>
    <t>A39</t>
  </si>
  <si>
    <t>Watertoets</t>
  </si>
  <si>
    <t>A40</t>
  </si>
  <si>
    <t>Grondradarmeting</t>
  </si>
  <si>
    <t>Stabiliteitsbeschouwing</t>
  </si>
  <si>
    <t>A51</t>
  </si>
  <si>
    <t>Brondocumentenlijst eisen</t>
  </si>
  <si>
    <t>A52</t>
  </si>
  <si>
    <t>Eisenlijst Asset Management met koppeling OTL</t>
  </si>
  <si>
    <t>A53</t>
  </si>
  <si>
    <t>Objecttypen lijst Asset Management</t>
  </si>
  <si>
    <t>A54</t>
  </si>
  <si>
    <t>Project specifieke eisenlijst</t>
  </si>
  <si>
    <t>A55</t>
  </si>
  <si>
    <t>Project specifieke objectenboom</t>
  </si>
  <si>
    <t>A56</t>
  </si>
  <si>
    <t>Verschil analyse eisen DP1 en DP2-4</t>
  </si>
  <si>
    <t>A60</t>
  </si>
  <si>
    <t>Noodplan 380kV Station Simonshaven</t>
  </si>
  <si>
    <t>A61</t>
  </si>
  <si>
    <t>Master Document Register</t>
  </si>
  <si>
    <t>A62</t>
  </si>
  <si>
    <t>Voorlopig Ombouw- en VNB Plan Uitbreiding Station</t>
  </si>
  <si>
    <t>2024-01-19</t>
  </si>
  <si>
    <t>BO-01350-04-012</t>
  </si>
  <si>
    <t>A63</t>
  </si>
  <si>
    <t>Voorlopig Stappenplan Uitbreiding Station</t>
  </si>
  <si>
    <t>2024-01-24</t>
  </si>
  <si>
    <t>BO-01350-04-013</t>
  </si>
  <si>
    <t>A64</t>
  </si>
  <si>
    <t>Voorlopig Ombouw- en VNB Plan NSA en HS-LS Aansluiting</t>
  </si>
  <si>
    <t>2024-01-25</t>
  </si>
  <si>
    <t>BO-01350-04-015</t>
  </si>
  <si>
    <t>A65</t>
  </si>
  <si>
    <t>Voorlopig Stappenplan vervanging NSA</t>
  </si>
  <si>
    <t>BO-01350-04-016</t>
  </si>
  <si>
    <t>A66</t>
  </si>
  <si>
    <t>Voorlopig Stappenplan vervanging HS-LS Aansluiting</t>
  </si>
  <si>
    <t>BO-01350-04-017</t>
  </si>
  <si>
    <t>A67</t>
  </si>
  <si>
    <t>Voorlopige VNB Planning Uitbreiding Station</t>
  </si>
  <si>
    <t>BO-01350-04-014</t>
  </si>
  <si>
    <t>A70</t>
  </si>
  <si>
    <t>Sustainability Goals TenneT</t>
  </si>
  <si>
    <t>2019-01-23</t>
  </si>
  <si>
    <t>A71</t>
  </si>
  <si>
    <t>TenneT Inspiratiegids Duurzaamheid</t>
  </si>
  <si>
    <t>2023-01-01</t>
  </si>
  <si>
    <t>A72</t>
  </si>
  <si>
    <t>TenneT CSR Ambition 2025</t>
  </si>
  <si>
    <t>A73</t>
  </si>
  <si>
    <t>Duurzaamheidssessie TenneT</t>
  </si>
  <si>
    <t>2022-01-04</t>
  </si>
  <si>
    <t>A74</t>
  </si>
  <si>
    <t xml:space="preserve">Duurzaamheidsstudie </t>
  </si>
  <si>
    <t>2023-06-26</t>
  </si>
  <si>
    <t>A75</t>
  </si>
  <si>
    <t>Ecologisch Ontwerpplan</t>
  </si>
  <si>
    <t>2023-04-17</t>
  </si>
  <si>
    <t>P01</t>
  </si>
  <si>
    <t>Single Line Diagram Existing situation</t>
  </si>
  <si>
    <t>2024-01-12</t>
  </si>
  <si>
    <t>SMH-380-04-199</t>
  </si>
  <si>
    <t>P02</t>
  </si>
  <si>
    <t>Overview Drawing Existing Situation</t>
  </si>
  <si>
    <t>C</t>
  </si>
  <si>
    <t>2022-08-25</t>
  </si>
  <si>
    <t>01350-01-00404</t>
  </si>
  <si>
    <t>P03</t>
  </si>
  <si>
    <t>Side and Top view Branch 1 Existing</t>
  </si>
  <si>
    <t>01350-01-00102</t>
  </si>
  <si>
    <t>P04</t>
  </si>
  <si>
    <t>Side and Top view Branch 2 Existing</t>
  </si>
  <si>
    <t>01350-01-00103</t>
  </si>
  <si>
    <t>P05</t>
  </si>
  <si>
    <t>Side and Top view Branch 3 Existing</t>
  </si>
  <si>
    <t>A</t>
  </si>
  <si>
    <t>2008-01-28</t>
  </si>
  <si>
    <t>SMH380-11-005</t>
  </si>
  <si>
    <t>P06</t>
  </si>
  <si>
    <t>Side and Top View Rail A Existing</t>
  </si>
  <si>
    <t>2009-11-11</t>
  </si>
  <si>
    <t>ITSMH-1-0-2</t>
  </si>
  <si>
    <t>P07</t>
  </si>
  <si>
    <t>Side and Top View Rail B Existing</t>
  </si>
  <si>
    <t>ITSMH-1-0-1</t>
  </si>
  <si>
    <t>P08</t>
  </si>
  <si>
    <t>Existing Primary OGG Component Drawings</t>
  </si>
  <si>
    <t>2023-09-22</t>
  </si>
  <si>
    <t>NVT</t>
  </si>
  <si>
    <t>P09</t>
  </si>
  <si>
    <t>Existing Primary Component Steel Support Structures</t>
  </si>
  <si>
    <t>2010-03-24</t>
  </si>
  <si>
    <t>P10</t>
  </si>
  <si>
    <t>Existing Earthing Grid Drawing</t>
  </si>
  <si>
    <t>D</t>
  </si>
  <si>
    <t>2010-04-12</t>
  </si>
  <si>
    <t>P11</t>
  </si>
  <si>
    <t>Existing Lightning Protection and Earthing calculation</t>
  </si>
  <si>
    <t>2008-01-30</t>
  </si>
  <si>
    <t>TES-MJ-070026848</t>
  </si>
  <si>
    <t>P12</t>
  </si>
  <si>
    <t>Existing Lightning Protection Drawing</t>
  </si>
  <si>
    <t>2007-11-09</t>
  </si>
  <si>
    <t>SMH-380-15-0001</t>
  </si>
  <si>
    <t>P13</t>
  </si>
  <si>
    <t>Single Line Diagram Station - Scope</t>
  </si>
  <si>
    <t>2024-01-17</t>
  </si>
  <si>
    <t>BO-01350-04-152</t>
  </si>
  <si>
    <t>P14</t>
  </si>
  <si>
    <t>Single Line Diagram Station - Desired End Situation</t>
  </si>
  <si>
    <t>BO-01350-04-153</t>
  </si>
  <si>
    <t>P15</t>
  </si>
  <si>
    <t>Top View SMH380 Desired Situation</t>
  </si>
  <si>
    <t>BO-01350-04-114</t>
  </si>
  <si>
    <t>P16</t>
  </si>
  <si>
    <t>Side View Branch 1 Desired Situation</t>
  </si>
  <si>
    <t>BO-01350-04-140</t>
  </si>
  <si>
    <t>P17</t>
  </si>
  <si>
    <t>Side View Branch 2 Desired Situation</t>
  </si>
  <si>
    <t>BO-01350-04-141</t>
  </si>
  <si>
    <t>P18</t>
  </si>
  <si>
    <t>Top and Side View Branch 4 Desired Situation</t>
  </si>
  <si>
    <t>BO-01350-04-142</t>
  </si>
  <si>
    <t>P19</t>
  </si>
  <si>
    <t>Top and Side View Branch 5 Desired Situation</t>
  </si>
  <si>
    <t>BO-01350-04-143</t>
  </si>
  <si>
    <t>P20</t>
  </si>
  <si>
    <t>Side View 380kV Rail A (Branch 4-5)</t>
  </si>
  <si>
    <t>BO-01350-04-119</t>
  </si>
  <si>
    <t>P21</t>
  </si>
  <si>
    <t>Side View 380kV Rail B (Branch 4-5)</t>
  </si>
  <si>
    <t>BO-01350-04-116</t>
  </si>
  <si>
    <t>P22</t>
  </si>
  <si>
    <t>Side View 380kV Rail A (Branch 1-3)</t>
  </si>
  <si>
    <t>BO-01350-04-120</t>
  </si>
  <si>
    <t>P23</t>
  </si>
  <si>
    <t>Side View 380kV Rail B (Branch 1-3)</t>
  </si>
  <si>
    <t>BO-01350-04-117</t>
  </si>
  <si>
    <t>P24</t>
  </si>
  <si>
    <t>Top and Side View 380_150kV Transformer Cell TR412</t>
  </si>
  <si>
    <t>1.3</t>
  </si>
  <si>
    <t>BO-01350-04-144</t>
  </si>
  <si>
    <t>P25</t>
  </si>
  <si>
    <t>Top and Side View 380_150kV Transformer Cell TR413 and TR414</t>
  </si>
  <si>
    <t>BO-01350-04-145</t>
  </si>
  <si>
    <t>P26</t>
  </si>
  <si>
    <t>Top and Side View 50kV Shunt Reactor Cell SP412</t>
  </si>
  <si>
    <t>BO-01350-04-146</t>
  </si>
  <si>
    <t>P27</t>
  </si>
  <si>
    <t>Top and Side View 50kV Shunt Reactor Cell SP413 and SP414</t>
  </si>
  <si>
    <t>BO-01350-04-147</t>
  </si>
  <si>
    <t>P28</t>
  </si>
  <si>
    <t>Top and Side View 50kV Transformer Cell TR413 and TR414</t>
  </si>
  <si>
    <t>BO-01350-04-148</t>
  </si>
  <si>
    <t>P29</t>
  </si>
  <si>
    <t>Ontwerpbelastingen Hoofd- en Veld rails</t>
  </si>
  <si>
    <t>2023-08-03</t>
  </si>
  <si>
    <t>BO-01350-04-135</t>
  </si>
  <si>
    <t>P30</t>
  </si>
  <si>
    <t>Kortsluitstromen en Belastbaarheid</t>
  </si>
  <si>
    <t>1.8</t>
  </si>
  <si>
    <t>BO-01350-04-031</t>
  </si>
  <si>
    <t>P31</t>
  </si>
  <si>
    <t>P32</t>
  </si>
  <si>
    <t>OGG and Inventory List Primary</t>
  </si>
  <si>
    <t>BO-01350-04-165</t>
  </si>
  <si>
    <t>P33</t>
  </si>
  <si>
    <t>Phase Sequence Schematic</t>
  </si>
  <si>
    <t>1.5</t>
  </si>
  <si>
    <t>BO-01350-04-162</t>
  </si>
  <si>
    <t>P34</t>
  </si>
  <si>
    <t>Scopeafbakening Afspanportaal Simonshaven</t>
  </si>
  <si>
    <t>P35</t>
  </si>
  <si>
    <t>Primair OGG - Trench 380 en 50kV Instrument Transformers</t>
  </si>
  <si>
    <t>P36</t>
  </si>
  <si>
    <t>Primair OGG - Koncar 50kV Instrument Transformers</t>
  </si>
  <si>
    <t>P37</t>
  </si>
  <si>
    <t>Primair OGG - Siemens 380kV Circuit Breakers</t>
  </si>
  <si>
    <t>P38</t>
  </si>
  <si>
    <t>Primair OGG - Hitachi 50kV Circuit Breakers</t>
  </si>
  <si>
    <t>P39</t>
  </si>
  <si>
    <t>P40</t>
  </si>
  <si>
    <t>P41</t>
  </si>
  <si>
    <t>P42</t>
  </si>
  <si>
    <t>Primair OGG - Cerisol 380-150-50kV Insulators</t>
  </si>
  <si>
    <t>P43</t>
  </si>
  <si>
    <t>P44</t>
  </si>
  <si>
    <t>3D-Model Transformator</t>
  </si>
  <si>
    <t>BO-01350-04-189</t>
  </si>
  <si>
    <t>P45</t>
  </si>
  <si>
    <t>3D-Model Spoel</t>
  </si>
  <si>
    <t>BO-01350-04-190</t>
  </si>
  <si>
    <t>P46</t>
  </si>
  <si>
    <t>3D-Model Station Expansion</t>
  </si>
  <si>
    <t>BO-01350-04-188</t>
  </si>
  <si>
    <t>S01</t>
  </si>
  <si>
    <t>B-M-Uitschakelmatrix en beveiligingsoverzicht tak 4 Existing</t>
  </si>
  <si>
    <t>2022-08-16</t>
  </si>
  <si>
    <t>SMH380-xxx-28</t>
  </si>
  <si>
    <t>S02</t>
  </si>
  <si>
    <t>B-M-Uitschakelmatrix en beveiligingsoverzicht tak 5 Existing</t>
  </si>
  <si>
    <t>2022-08-22</t>
  </si>
  <si>
    <t>S03</t>
  </si>
  <si>
    <t>S04</t>
  </si>
  <si>
    <t>B-M-Uitschakelmatrix en beveiligingsoverzicht tak 1 Desired</t>
  </si>
  <si>
    <t>2024-01-18</t>
  </si>
  <si>
    <t>S05</t>
  </si>
  <si>
    <t>B-M-Uitschakelmatrix en beveiligingsoverzicht tak 2 Desired</t>
  </si>
  <si>
    <t>S06</t>
  </si>
  <si>
    <t>B-M-Uitschakelmatrix en beveiligingsoverzicht tak 4 Desired</t>
  </si>
  <si>
    <t>S07</t>
  </si>
  <si>
    <t>B-M-Uitschakelmatrix en beveiligingsoverzicht tak 5 Desired</t>
  </si>
  <si>
    <t>S08</t>
  </si>
  <si>
    <t>Layout Secondary Cabinets Branch House 4 Desired Situation</t>
  </si>
  <si>
    <t>BO-01350-02-213</t>
  </si>
  <si>
    <t>S09</t>
  </si>
  <si>
    <t>Layout Secondary Cabinets Branch House 5 Desired Situation</t>
  </si>
  <si>
    <t>BO-01350-02-214</t>
  </si>
  <si>
    <t>S10</t>
  </si>
  <si>
    <t>OGG List Secondary</t>
  </si>
  <si>
    <t>BO-01350-04-221</t>
  </si>
  <si>
    <t>S11</t>
  </si>
  <si>
    <t>Inventory POW Switching Transformers</t>
  </si>
  <si>
    <t>2023-07-26</t>
  </si>
  <si>
    <t>BO-01350-04-222</t>
  </si>
  <si>
    <t>S12</t>
  </si>
  <si>
    <t>Schematic indication Revenue metering</t>
  </si>
  <si>
    <t>2023-05-02</t>
  </si>
  <si>
    <t>BO-01350-04-231</t>
  </si>
  <si>
    <t>S13</t>
  </si>
  <si>
    <t>Schetsontwerp SRBV</t>
  </si>
  <si>
    <t>S14</t>
  </si>
  <si>
    <t>Eénlijnschema AC-DC hulpstroomvoorziening gewenste situatie</t>
  </si>
  <si>
    <t>H</t>
  </si>
  <si>
    <t>S15</t>
  </si>
  <si>
    <t>SO-PDA-11-084 Aanleveren gegevens MOC-SO</t>
  </si>
  <si>
    <t>1.4</t>
  </si>
  <si>
    <t>2021-09-16</t>
  </si>
  <si>
    <t>T01</t>
  </si>
  <si>
    <t>Telecom Glasvezel Routes</t>
  </si>
  <si>
    <t>BO-01350-04-353</t>
  </si>
  <si>
    <t>T02</t>
  </si>
  <si>
    <t>OGG-Lijst Telecom</t>
  </si>
  <si>
    <t>T03</t>
  </si>
  <si>
    <t>Schematische weergave raakvlak station en lijnen</t>
  </si>
  <si>
    <t>B01</t>
  </si>
  <si>
    <t>Pile plan Existing Situation</t>
  </si>
  <si>
    <t>2008-09-16</t>
  </si>
  <si>
    <t>B02</t>
  </si>
  <si>
    <t>As-built drawings of the current foundation in the line fields</t>
  </si>
  <si>
    <t>2010-05-23</t>
  </si>
  <si>
    <t>B03</t>
  </si>
  <si>
    <t xml:space="preserve">Existing lighting plan </t>
  </si>
  <si>
    <t>2008-06-01</t>
  </si>
  <si>
    <t>B04</t>
  </si>
  <si>
    <t>The floor plan of the current CDG</t>
  </si>
  <si>
    <t>2009-03-03</t>
  </si>
  <si>
    <t>B07</t>
  </si>
  <si>
    <t>Bovenaanzicht en zijaanzicht funderingen in Tak 5</t>
  </si>
  <si>
    <t>2023-09-25</t>
  </si>
  <si>
    <t>BO-01350-04-171</t>
  </si>
  <si>
    <t>B08</t>
  </si>
  <si>
    <t>Funderingsoverzicht 150kV schakelvelden bij dubbele trafocellen TR413+TR414</t>
  </si>
  <si>
    <t>BO-01350-04-172</t>
  </si>
  <si>
    <t>B09</t>
  </si>
  <si>
    <t>Funderingsoverzicht 50kV spoelvelden bij dubbele spoelcellen SP413+SP414</t>
  </si>
  <si>
    <t>BO-01350-04-173</t>
  </si>
  <si>
    <t>B10</t>
  </si>
  <si>
    <t>Opstellingstekening Bliksempiek</t>
  </si>
  <si>
    <t>2023-01-13</t>
  </si>
  <si>
    <t>BO-01350-04-174</t>
  </si>
  <si>
    <t>B11</t>
  </si>
  <si>
    <t>Milieutekening met gegevens componenten</t>
  </si>
  <si>
    <t>2023-10-10</t>
  </si>
  <si>
    <t>BO-01350-04-187</t>
  </si>
  <si>
    <t>B12</t>
  </si>
  <si>
    <t>Kadastrale kaart</t>
  </si>
  <si>
    <t>BO-01350-04-401</t>
  </si>
  <si>
    <t>B13</t>
  </si>
  <si>
    <t>Plattegrond stationsterrein en gebouwen en details terreininfra</t>
  </si>
  <si>
    <t>BO-01350-04-402</t>
  </si>
  <si>
    <t>B14</t>
  </si>
  <si>
    <t>Funderingsoverzicht station (uitbreidingsdeel)</t>
  </si>
  <si>
    <t>BO-01350-04-403</t>
  </si>
  <si>
    <t>B15</t>
  </si>
  <si>
    <t>Plattegronden, aanzichten en doorsneden trafocel TR412 met spoelcel SP412</t>
  </si>
  <si>
    <t>BO-01350-04-404</t>
  </si>
  <si>
    <t>B16</t>
  </si>
  <si>
    <t>Plattegronden, aanzichten en doorsneden dubbele trafocellen TR413+TR414</t>
  </si>
  <si>
    <t>BO-01350-04-405</t>
  </si>
  <si>
    <t>B17</t>
  </si>
  <si>
    <t>Funderingsoverzicht 150kV schakelveld bij trafocel TR412</t>
  </si>
  <si>
    <t>BO-01350-04-406</t>
  </si>
  <si>
    <t>B18</t>
  </si>
  <si>
    <t>380kV Vormtekening fundering type E</t>
  </si>
  <si>
    <t>2023-04-07</t>
  </si>
  <si>
    <t>BO-01350-04-407</t>
  </si>
  <si>
    <t>B19</t>
  </si>
  <si>
    <t>Plattegronden, aanzichten en doorsneden dubbele spoelcellen SP413+SP414</t>
  </si>
  <si>
    <t>BO-01350-04-408</t>
  </si>
  <si>
    <t>B20</t>
  </si>
  <si>
    <t>Funderingsoverzicht 50kV spoelveld bij spoelcel SP412</t>
  </si>
  <si>
    <t>BO-01350-04-409</t>
  </si>
  <si>
    <t>B21</t>
  </si>
  <si>
    <t>Plattegronden, aanzichten en doorsneden NSA- /Opslaggebouw</t>
  </si>
  <si>
    <t>BO-01350-04-410</t>
  </si>
  <si>
    <t>B22</t>
  </si>
  <si>
    <t>Plattegronden, aanzichten en doorsneden Opslaggebouw</t>
  </si>
  <si>
    <t>BO-01350-04-411</t>
  </si>
  <si>
    <t>B23</t>
  </si>
  <si>
    <t>Plattegronden, aanzichten en doorsneden Takhuis (takken 4 en 5)</t>
  </si>
  <si>
    <t>BO-01350-04-412</t>
  </si>
  <si>
    <t>B24</t>
  </si>
  <si>
    <t>Plattegronden tijdelijke opslagplaats</t>
  </si>
  <si>
    <t>BO-01350-04-413</t>
  </si>
  <si>
    <t>B25</t>
  </si>
  <si>
    <t>380kV Principe diepte, verankering en aarding voor fundering Primair ondersteuning</t>
  </si>
  <si>
    <t>2023-03-06</t>
  </si>
  <si>
    <t>BO-01350-04-414</t>
  </si>
  <si>
    <t>B26</t>
  </si>
  <si>
    <t>380kV Vormtekening fundering type A</t>
  </si>
  <si>
    <t>BO-01350-04-415</t>
  </si>
  <si>
    <t>B27</t>
  </si>
  <si>
    <t>380kV Vormtekening fundering type B en C</t>
  </si>
  <si>
    <t>BO-01350-04-416</t>
  </si>
  <si>
    <t>B28</t>
  </si>
  <si>
    <t>380kV Vormtekening fundering type F</t>
  </si>
  <si>
    <t>BO-01350-04-417</t>
  </si>
  <si>
    <t>B29</t>
  </si>
  <si>
    <t>380kV Vormtekening fundering type G</t>
  </si>
  <si>
    <t>BO-01350-04-418</t>
  </si>
  <si>
    <t>B30</t>
  </si>
  <si>
    <t>380kV Vormtekening fundering type H en K</t>
  </si>
  <si>
    <t>BO-01350-04-419</t>
  </si>
  <si>
    <t>B31</t>
  </si>
  <si>
    <t>380kV Vormtekening fundering type I</t>
  </si>
  <si>
    <t>BO-01350-04-420</t>
  </si>
  <si>
    <t>B32</t>
  </si>
  <si>
    <t>50kV Vormtekening fundering type 3 (spoelveld)</t>
  </si>
  <si>
    <t>BO-01350-04-421</t>
  </si>
  <si>
    <t>B33</t>
  </si>
  <si>
    <t>150kV Vormtekening fundering type M</t>
  </si>
  <si>
    <t>BO-01350-04-422</t>
  </si>
  <si>
    <t>B34</t>
  </si>
  <si>
    <t>150kV Vormtekening fundering type 1 (schakelveld)</t>
  </si>
  <si>
    <t>BO-01350-04-423</t>
  </si>
  <si>
    <t>B35</t>
  </si>
  <si>
    <t>150kV Vormtekening fundering type 2 (schakelveld)</t>
  </si>
  <si>
    <t>BO-01350-04-424</t>
  </si>
  <si>
    <t>B36</t>
  </si>
  <si>
    <t>Plattegrond kabels en leidingen (K&amp;L)</t>
  </si>
  <si>
    <t>BO-01350-04-425</t>
  </si>
  <si>
    <t>B37</t>
  </si>
  <si>
    <t>380kV Standaard kabelgootelementen</t>
  </si>
  <si>
    <t>BO-01350-04-434</t>
  </si>
  <si>
    <t>B38</t>
  </si>
  <si>
    <t>Kabelgootelement bij wegkruising</t>
  </si>
  <si>
    <t>BO-01350-04-435</t>
  </si>
  <si>
    <t>B39</t>
  </si>
  <si>
    <t>MOR rapport met bijlagen</t>
  </si>
  <si>
    <t>BO-01350-04-429</t>
  </si>
  <si>
    <t>B40</t>
  </si>
  <si>
    <t>Constructief rapport</t>
  </si>
  <si>
    <t>BO-01350-04-426</t>
  </si>
  <si>
    <t>B41</t>
  </si>
  <si>
    <t>Geotechnisch rapport</t>
  </si>
  <si>
    <t>BO-01350-04-427</t>
  </si>
  <si>
    <t>B42</t>
  </si>
  <si>
    <t>Kleur- en materiaalstaat Bouwkundig</t>
  </si>
  <si>
    <t>BO-01350-04-430</t>
  </si>
  <si>
    <t>B43</t>
  </si>
  <si>
    <t>Kleur- en materiaalstaat Primair</t>
  </si>
  <si>
    <t>BO-01350-04-186</t>
  </si>
  <si>
    <t>B44</t>
  </si>
  <si>
    <t>VGM rapport</t>
  </si>
  <si>
    <t>BO-01350-04-428</t>
  </si>
  <si>
    <t>B45</t>
  </si>
  <si>
    <t>Notitie Zwaar Transport</t>
  </si>
  <si>
    <t>B46</t>
  </si>
  <si>
    <t>(Her)Berekening bestaande fundering takken 1 t/m 3 en nieuwe fundering tak 4</t>
  </si>
  <si>
    <t>BO-01350-04-431</t>
  </si>
  <si>
    <t>B47</t>
  </si>
  <si>
    <t>380kV Uitgangspuntenrapport S380kV Primair - Constructies</t>
  </si>
  <si>
    <t>BO-01350-04-175</t>
  </si>
  <si>
    <t>B48</t>
  </si>
  <si>
    <t xml:space="preserve">380kV Uittreksel maatgevende topdwarskrachten </t>
  </si>
  <si>
    <t>5.0</t>
  </si>
  <si>
    <t>2023-03-21</t>
  </si>
  <si>
    <t>BO-01350-04-176</t>
  </si>
  <si>
    <t>B49</t>
  </si>
  <si>
    <t>380kV Constructief Rapport Bliksempieken op het funderingstype A</t>
  </si>
  <si>
    <t>2023-01-18</t>
  </si>
  <si>
    <t>BO-01350-04-177</t>
  </si>
  <si>
    <t>B50</t>
  </si>
  <si>
    <t>380kV Constructief Rapport Componenten op het funderingstype B en C</t>
  </si>
  <si>
    <t>2022-11-07</t>
  </si>
  <si>
    <t>BO-01350-04-178</t>
  </si>
  <si>
    <t>B51</t>
  </si>
  <si>
    <t xml:space="preserve">380kV Constructief Rapport Componenten op het funderingstype E </t>
  </si>
  <si>
    <t>2022-12-01</t>
  </si>
  <si>
    <t>BO-01350-04-179</t>
  </si>
  <si>
    <t>B52</t>
  </si>
  <si>
    <t>380kV Constructief Rapport Componenten op het funderingstype F</t>
  </si>
  <si>
    <t>2022-11-16</t>
  </si>
  <si>
    <t>BO-01350-04-180</t>
  </si>
  <si>
    <t>B53</t>
  </si>
  <si>
    <t>380kV Constructief Rapport Componenten op het funderingstype G</t>
  </si>
  <si>
    <t>2022-12-19</t>
  </si>
  <si>
    <t>BO-01350-04-181</t>
  </si>
  <si>
    <t>B54</t>
  </si>
  <si>
    <t>380kV Constructief Rapport Componenten op het funderingstype H en K</t>
  </si>
  <si>
    <t>2022-12-12</t>
  </si>
  <si>
    <t>BO-01350-04-182</t>
  </si>
  <si>
    <t>B55</t>
  </si>
  <si>
    <t>380kV Constructief Rapport Componenten op het funderingstype I</t>
  </si>
  <si>
    <t>2022-12-02</t>
  </si>
  <si>
    <t>BO-01350-04-183</t>
  </si>
  <si>
    <t>B56</t>
  </si>
  <si>
    <t>50kV Constructief Rapport Componenten op het funderingstype N</t>
  </si>
  <si>
    <t>2023-07-10</t>
  </si>
  <si>
    <t>BO-01350-04-184</t>
  </si>
  <si>
    <t>B57</t>
  </si>
  <si>
    <t>150kV Constructief Rapport Componenten op het funderingstype M</t>
  </si>
  <si>
    <t>2023-01-26</t>
  </si>
  <si>
    <t>BO-01350-04-185</t>
  </si>
  <si>
    <t>B58</t>
  </si>
  <si>
    <t>Capaciteitsberekening OBAS Transformatorcel en Spoelcel</t>
  </si>
  <si>
    <t>BO-01350-04-432</t>
  </si>
  <si>
    <t>Onderzoeken Grondgesteldheid &amp; Klic-melding (K&amp;L) &amp; Kadastergegevens</t>
  </si>
  <si>
    <t>BO-01350-04-433</t>
  </si>
  <si>
    <t>Parkeerplaatsen CDG</t>
  </si>
  <si>
    <t>K01</t>
  </si>
  <si>
    <t>Interface Matrix EU-375 and EU-303</t>
  </si>
  <si>
    <t>BO-01350-04-603</t>
  </si>
  <si>
    <t>K02</t>
  </si>
  <si>
    <t>Inschatting lengte 50kV en 380kV HV Cables</t>
  </si>
  <si>
    <t>2023-11-15</t>
  </si>
  <si>
    <t>BO-01350-04-604</t>
  </si>
  <si>
    <t>K03</t>
  </si>
  <si>
    <t>Rerouting 50kV and 150kV cables</t>
  </si>
  <si>
    <t>BO-01350-04-605</t>
  </si>
  <si>
    <t>K04</t>
  </si>
  <si>
    <t>Schematic overview Scope-split LPN and GFO</t>
  </si>
  <si>
    <t>BO-01350-04-650</t>
  </si>
  <si>
    <t>K05</t>
  </si>
  <si>
    <t>Schematic overview Scope LPN and GFO</t>
  </si>
  <si>
    <t>BO-01350-04-651</t>
  </si>
  <si>
    <t>K06</t>
  </si>
  <si>
    <t>Specific Agreements LPN and GFO</t>
  </si>
  <si>
    <t>BO-01350-04-652</t>
  </si>
  <si>
    <t>K07</t>
  </si>
  <si>
    <t>DVS 2205-1 Beiblatt 7 2013-02</t>
  </si>
  <si>
    <t>2013-02</t>
  </si>
  <si>
    <t>K08</t>
  </si>
  <si>
    <t>DVS 2205-1 Supplement 7 2013-03</t>
  </si>
  <si>
    <t>2013-03</t>
  </si>
  <si>
    <t>K09</t>
  </si>
  <si>
    <t>PRY 50kV and 380kV cables Technical Spec SID23-13</t>
  </si>
  <si>
    <t>2023-04-19</t>
  </si>
  <si>
    <t>K10</t>
  </si>
  <si>
    <t>PRY Dimensions Drum Borki 4200x2085x2400 BS VS NS</t>
  </si>
  <si>
    <t>2011-11-22</t>
  </si>
  <si>
    <t>E01</t>
  </si>
  <si>
    <t>Beïnvloeding Studie omgeving</t>
  </si>
  <si>
    <t>2.1</t>
  </si>
  <si>
    <t>2023-02-03</t>
  </si>
  <si>
    <t>E02</t>
  </si>
  <si>
    <t>Scope EMC Studies SMH380 and AMH380</t>
  </si>
  <si>
    <t>BO-01350-04-702</t>
  </si>
  <si>
    <t>E03</t>
  </si>
  <si>
    <t>NUON Magneetveldberekeningen</t>
  </si>
  <si>
    <t>2007-01-26</t>
  </si>
  <si>
    <t>E04</t>
  </si>
  <si>
    <t>Uitwerking EMC eisenzone</t>
  </si>
  <si>
    <t>2023-04-12</t>
  </si>
  <si>
    <t>Niet van toepassing</t>
  </si>
  <si>
    <t>Document is onderhanden</t>
  </si>
  <si>
    <t>Document is gereerd en kan worden ge-upload in Meridian</t>
  </si>
  <si>
    <t>Primair OGG - GE Grid Solutions - 380kV Disconnector and Earthing Switches</t>
  </si>
  <si>
    <t>Primair OGG - HAPAM - 150 and 50kV Disconnector and Earthing Switches</t>
  </si>
  <si>
    <t>A80</t>
  </si>
  <si>
    <t>Instructie werken met SAT-SIT Document</t>
  </si>
  <si>
    <t>2021-01-14</t>
  </si>
  <si>
    <t>2020-11-20</t>
  </si>
  <si>
    <t>SAT-SIT Formulier Aarder</t>
  </si>
  <si>
    <t>A81</t>
  </si>
  <si>
    <t>A82</t>
  </si>
  <si>
    <t>SAT-SIT Formulier APA</t>
  </si>
  <si>
    <t>2021-01-12</t>
  </si>
  <si>
    <t>A83</t>
  </si>
  <si>
    <t>SAT-SIT Formulier Beveiliging</t>
  </si>
  <si>
    <t>2021-01-18</t>
  </si>
  <si>
    <t>A84</t>
  </si>
  <si>
    <t>SAT-SIT Formulier Doorvoering</t>
  </si>
  <si>
    <t>SAT-SIT Formulier Gelijkrichter</t>
  </si>
  <si>
    <t>A85</t>
  </si>
  <si>
    <t>A86</t>
  </si>
  <si>
    <t>SAT-SIT Formulier Instrumentatie transformator</t>
  </si>
  <si>
    <t>A87</t>
  </si>
  <si>
    <t>SAT-SIT Formulier Noodstroom Aggregaat (NSA)</t>
  </si>
  <si>
    <t>A88</t>
  </si>
  <si>
    <t>SAT-SIT Formulier Railbeveiliging</t>
  </si>
  <si>
    <t>A89</t>
  </si>
  <si>
    <t>SAT-SIT Formulier Scheider</t>
  </si>
  <si>
    <t>A90</t>
  </si>
  <si>
    <t>SAT-SIT Formulier Secundaire Installatie</t>
  </si>
  <si>
    <t>SAT-SIT Formulier Spanningsdeler en PQ-Meting</t>
  </si>
  <si>
    <t>0.2</t>
  </si>
  <si>
    <t>2020-12-17</t>
  </si>
  <si>
    <t>SAT-SIT Formulier Storingsregistratie</t>
  </si>
  <si>
    <t>A91</t>
  </si>
  <si>
    <t>A92</t>
  </si>
  <si>
    <t>SAT-SIT Formulier VBS</t>
  </si>
  <si>
    <t>2022-12-05</t>
  </si>
  <si>
    <t>A93</t>
  </si>
  <si>
    <t>2021-02-04</t>
  </si>
  <si>
    <t>SAT-SIT Formulier Verbinding Lijnen</t>
  </si>
  <si>
    <t>A94</t>
  </si>
  <si>
    <t>SAT-SIT Formulier Verbinding Kabels</t>
  </si>
  <si>
    <t>A95</t>
  </si>
  <si>
    <t>SAT-SIT Formulier Vermogensschakelaar</t>
  </si>
  <si>
    <t>2022-09-20</t>
  </si>
  <si>
    <t>A96</t>
  </si>
  <si>
    <t>2023-04-03</t>
  </si>
  <si>
    <t>A97</t>
  </si>
  <si>
    <t>2024-02-15</t>
  </si>
  <si>
    <t>SAT-SIT Formulier Vermogenstransformator</t>
  </si>
  <si>
    <t>A98</t>
  </si>
  <si>
    <t>A99</t>
  </si>
  <si>
    <t>Corona Testing of AIS Substations</t>
  </si>
  <si>
    <t>TenneT Technische Onderhoudsrichtlijn (TOR)</t>
  </si>
  <si>
    <t>2024-02-09</t>
  </si>
  <si>
    <t>A100</t>
  </si>
  <si>
    <t>Stop- en Bijwoonpunten</t>
  </si>
  <si>
    <t>BO-01350-04-831</t>
  </si>
  <si>
    <t>3.1</t>
  </si>
  <si>
    <t>2024-02-12</t>
  </si>
  <si>
    <t>5.6</t>
  </si>
  <si>
    <t>2024-01-01</t>
  </si>
  <si>
    <t>Leeg</t>
  </si>
  <si>
    <t>P47</t>
  </si>
  <si>
    <t>3D-Model Station (Landschappelijk Inpassing)</t>
  </si>
  <si>
    <t>Primair OGG - SMIT - Transformer</t>
  </si>
  <si>
    <t>Moet nog definitief versie ontvangen van SMIT</t>
  </si>
  <si>
    <t>Primair OGG - SMIT - Shunt Reactor</t>
  </si>
  <si>
    <t>2023-11-20</t>
  </si>
  <si>
    <t>B05</t>
  </si>
  <si>
    <t>2024-01-31</t>
  </si>
  <si>
    <t>B06</t>
  </si>
  <si>
    <t>2023-12-01</t>
  </si>
  <si>
    <t>2024-01-26</t>
  </si>
  <si>
    <t>2024-12-01</t>
  </si>
  <si>
    <t>2024-02-13</t>
  </si>
  <si>
    <t>2024-02-14</t>
  </si>
  <si>
    <t>2024-02-16</t>
  </si>
  <si>
    <t>B</t>
  </si>
  <si>
    <t>2024-02-08</t>
  </si>
  <si>
    <t>2024-06-18</t>
  </si>
  <si>
    <t>2024-07-02</t>
  </si>
  <si>
    <t>A101</t>
  </si>
  <si>
    <t>Deelproject 1 Decision Board Besluiten</t>
  </si>
  <si>
    <t>2024-07-03</t>
  </si>
  <si>
    <t>BO-01350-04-998</t>
  </si>
  <si>
    <t>2024-07-11</t>
  </si>
  <si>
    <t>Primair OGG - Tridelta - 380-150-50kV Surge Arresters</t>
  </si>
  <si>
    <t>Nota van Inlichtingen 003.215 Simonshaven 380kV - Engineeringswijzigingen SRA DP2&amp;4</t>
  </si>
  <si>
    <t>2024.1</t>
  </si>
  <si>
    <t>2024-07-22</t>
  </si>
  <si>
    <t>B59</t>
  </si>
  <si>
    <t>B60</t>
  </si>
  <si>
    <t>B61</t>
  </si>
  <si>
    <t>B62</t>
  </si>
  <si>
    <t>B63</t>
  </si>
  <si>
    <t>Milieutekening met gegevens componenten dwg format</t>
  </si>
  <si>
    <t>Kadastrale kaart dwg format</t>
  </si>
  <si>
    <t>Plattegrond stationsterrein en gebouwen en details terreininfra dwg format</t>
  </si>
  <si>
    <t>Plattegrond tijdelijke opslagplaats dwg format</t>
  </si>
  <si>
    <t>Plattegrond kabels en leidingen (K&amp;L) dwg format</t>
  </si>
  <si>
    <t>Geluidshuis spoelcellen + bouwkundig</t>
  </si>
  <si>
    <t>Geluidshuis spoelcellen</t>
  </si>
  <si>
    <t>Geluidshuis trafocellen</t>
  </si>
  <si>
    <t>Geluidshuis trafocellen + bouwkundig</t>
  </si>
  <si>
    <t>2024-04-17</t>
  </si>
  <si>
    <t>Geluidshuis combicell + bouwkundig</t>
  </si>
  <si>
    <t>Geluidshuis combicell</t>
  </si>
  <si>
    <t>B64</t>
  </si>
  <si>
    <t>B65</t>
  </si>
  <si>
    <t>B66</t>
  </si>
  <si>
    <t>B67</t>
  </si>
  <si>
    <t>Jacking arrangement installation for transformer TLB380</t>
  </si>
  <si>
    <t>0.1</t>
  </si>
  <si>
    <t>0.3</t>
  </si>
  <si>
    <t>2024-10-17</t>
  </si>
  <si>
    <t>Lifting arrangement transformer TLB380</t>
  </si>
  <si>
    <t>Lifting arrangement shunt reactor TLB380</t>
  </si>
  <si>
    <t>2024-08-24</t>
  </si>
  <si>
    <t>Transport arrangement of transformer on trailers TLB380</t>
  </si>
  <si>
    <t>B68</t>
  </si>
  <si>
    <t>Dit is alleen ter informatie, dit is niet de SMH transformator en spoel, behandel het alleen als informatieve input.</t>
  </si>
  <si>
    <t>2025-01-20</t>
  </si>
  <si>
    <t>P48</t>
  </si>
  <si>
    <t>P49</t>
  </si>
  <si>
    <t>2024-10-31</t>
  </si>
  <si>
    <t>Primair OGG - STE Ring-core Current Transformer</t>
  </si>
  <si>
    <t>BP46</t>
  </si>
  <si>
    <t>Top View SMH380 Desired Situation dwg format</t>
  </si>
  <si>
    <t>B69</t>
  </si>
  <si>
    <t>B70</t>
  </si>
  <si>
    <t xml:space="preserve">Interface Matrix Merford SMIT en EU-303 </t>
  </si>
  <si>
    <t>2025-01-23</t>
  </si>
  <si>
    <t>Output van bijlage BP46-native bestanden</t>
  </si>
  <si>
    <t>Moet nog definitief versies ontvangen van SMIT</t>
  </si>
  <si>
    <t>Deze file is niet beschikbaar in bewerkbaar formaat. Is bedoeld voor Visualizatie doeleinden alleen op BO niveau voor het licensing process.</t>
  </si>
  <si>
    <t>VERVALLEN, verouderd informatie</t>
  </si>
  <si>
    <r>
      <rPr>
        <sz val="11"/>
        <color rgb="FF0000FF"/>
        <rFont val="Calibri"/>
        <family val="2"/>
      </rPr>
      <t xml:space="preserve">Blue Text </t>
    </r>
    <r>
      <rPr>
        <sz val="11"/>
        <rFont val="Calibri"/>
        <family val="2"/>
      </rPr>
      <t>=</t>
    </r>
  </si>
  <si>
    <t>Adjustments made to MDR in this version</t>
  </si>
  <si>
    <t>Deze map bevat native bestanden om een totaal 3D model van het station te maken. In deze map staan oudere bestanden die werden gebruikt voor de transformator en spoel, de nieuwere bestanden moeten in de modellen worden geladen en in plaats daarvan worden gebruikt. De geluidshuizen voor de cellen zijn ook in het model geladen en zijn oud, de nieuwere versie moet worden gebruikt. De layout onderligger is ook een oudere versie en Versie 1.2 van bijlage P15 dient gebruikt te worden als uitgangspunt.</t>
  </si>
  <si>
    <t>2024-07-25</t>
  </si>
  <si>
    <t>2023-11-29</t>
  </si>
  <si>
    <t>2023-08-30</t>
  </si>
  <si>
    <t>2022-08-30</t>
  </si>
  <si>
    <t>2022-10-25</t>
  </si>
  <si>
    <t>2022-12-06</t>
  </si>
  <si>
    <t>2022-10-06</t>
  </si>
  <si>
    <t>2022-10-07</t>
  </si>
  <si>
    <t>2023-11-01</t>
  </si>
  <si>
    <t>2023-03-24</t>
  </si>
  <si>
    <t>2023-09-01</t>
  </si>
  <si>
    <t>2023-05-22</t>
  </si>
  <si>
    <t>2023-09-07</t>
  </si>
  <si>
    <t>2023-05-01</t>
  </si>
  <si>
    <t>2022-09-28</t>
  </si>
  <si>
    <t>2023-10-05</t>
  </si>
  <si>
    <t>2022-08-03</t>
  </si>
  <si>
    <t>2023-09-21</t>
  </si>
  <si>
    <t>2023-08-02</t>
  </si>
  <si>
    <t>3D-Model Station Expansion native files</t>
  </si>
  <si>
    <t>Merford eisen geluidshuis</t>
  </si>
  <si>
    <t>D6</t>
  </si>
  <si>
    <t>2024-03-13</t>
  </si>
  <si>
    <t>2025-03-28</t>
  </si>
  <si>
    <t>P50</t>
  </si>
  <si>
    <t>Primair Ontwerp Uitgangspunten</t>
  </si>
  <si>
    <t>2025-02-11</t>
  </si>
  <si>
    <t>BO-01350-04-191</t>
  </si>
  <si>
    <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</si>
</sst>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413]d\ mmmm\ yyyy;@"/>
    <numFmt numFmtId="165" formatCode="0.0"/>
    <numFmt numFmtId="166" formatCode="yyyy\-mm\-dd;@"/>
  </numFmts>
  <fonts count="21" x14ac:knownFonts="1">
    <font>
      <sz val="11"/>
      <color theme="1"/>
      <name val="Calibri"/>
      <family val="2"/>
      <scheme val="minor"/>
    </font>
    <font>
      <sz val="11"/>
      <color theme="1"/>
      <name val="Calibri"/>
      <family val="2"/>
      <scheme val="minor"/>
    </font>
    <font>
      <sz val="10"/>
      <name val="Arial"/>
      <family val="2"/>
    </font>
    <font>
      <sz val="8"/>
      <name val="Calibri"/>
      <family val="2"/>
      <scheme val="minor"/>
    </font>
    <font>
      <sz val="11"/>
      <name val="Calibri"/>
      <family val="2"/>
    </font>
    <font>
      <sz val="14"/>
      <name val="Calibri"/>
      <family val="2"/>
    </font>
    <font>
      <sz val="14"/>
      <color theme="1"/>
      <name val="Calibri"/>
      <family val="2"/>
    </font>
    <font>
      <sz val="11"/>
      <color theme="1"/>
      <name val="Calibri"/>
      <family val="2"/>
    </font>
    <font>
      <sz val="14"/>
      <color rgb="FF0000FF"/>
      <name val="Calibri"/>
      <family val="2"/>
    </font>
    <font>
      <b/>
      <sz val="11"/>
      <name val="Calibri"/>
      <family val="2"/>
    </font>
    <font>
      <b/>
      <sz val="11"/>
      <color theme="1"/>
      <name val="Calibri"/>
      <family val="2"/>
    </font>
    <font>
      <sz val="11"/>
      <color rgb="FF0000FF"/>
      <name val="Calibri"/>
      <family val="2"/>
    </font>
    <font>
      <sz val="10"/>
      <name val="Calibri"/>
      <family val="2"/>
    </font>
    <font>
      <sz val="11"/>
      <color rgb="FF000000"/>
      <name val="Calibri"/>
      <family val="2"/>
    </font>
    <font>
      <sz val="11"/>
      <name val="Calibri"/>
      <family val="2"/>
      <scheme val="minor"/>
    </font>
    <font>
      <sz val="11"/>
      <color theme="1"/>
      <name val="Calibri"/>
      <family val="2"/>
    </font>
    <font>
      <sz val="10"/>
      <color rgb="FF0000FF"/>
      <name val="Calibri"/>
      <family val="2"/>
    </font>
    <font>
      <strike/>
      <sz val="11"/>
      <color rgb="FF0000FF"/>
      <name val="Calibri"/>
      <family val="2"/>
    </font>
    <font>
      <strike/>
      <sz val="11"/>
      <name val="Calibri"/>
      <family val="2"/>
      <scheme val="minor"/>
    </font>
    <font>
      <strike/>
      <sz val="11"/>
      <name val="Calibri"/>
      <family val="2"/>
    </font>
    <font>
      <strike/>
      <sz val="10"/>
      <name val="Calibri"/>
      <family val="2"/>
    </font>
  </fonts>
  <fills count="3">
    <fill>
      <patternFill patternType="none"/>
    </fill>
    <fill>
      <patternFill patternType="gray125"/>
    </fill>
    <fill>
      <patternFill patternType="solid">
        <fgColor theme="0" tint="-0.249977111117893"/>
        <bgColor indexed="64"/>
      </patternFill>
    </fill>
  </fills>
  <borders count="13">
    <border>
      <left/>
      <right/>
      <top/>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style="thin">
        <color indexed="64"/>
      </top>
      <bottom/>
      <diagonal/>
    </border>
    <border>
      <left style="thin">
        <color indexed="64"/>
      </left>
      <right style="thin">
        <color indexed="64"/>
      </right>
      <top style="hair">
        <color indexed="64"/>
      </top>
      <bottom style="thin">
        <color indexed="64"/>
      </bottom>
      <diagonal/>
    </border>
    <border>
      <left style="thin">
        <color rgb="FF000000"/>
      </left>
      <right style="thin">
        <color rgb="FF000000"/>
      </right>
      <top style="thin">
        <color rgb="FF000000"/>
      </top>
      <bottom style="thin">
        <color rgb="FF000000"/>
      </bottom>
      <diagonal/>
    </border>
    <border>
      <left/>
      <right/>
      <top style="thin">
        <color auto="1"/>
      </top>
      <bottom/>
      <diagonal/>
    </border>
    <border>
      <left style="thin">
        <color indexed="64"/>
      </left>
      <right style="thin">
        <color indexed="64"/>
      </right>
      <top style="thin">
        <color indexed="64"/>
      </top>
      <bottom style="hair">
        <color indexed="64"/>
      </bottom>
      <diagonal/>
    </border>
    <border>
      <left style="thin">
        <color indexed="64"/>
      </left>
      <right style="thin">
        <color indexed="64"/>
      </right>
      <top style="dotted">
        <color rgb="FF000000"/>
      </top>
      <bottom style="dotted">
        <color rgb="FF000000"/>
      </bottom>
      <diagonal/>
    </border>
    <border>
      <left style="thin">
        <color indexed="64"/>
      </left>
      <right style="thin">
        <color indexed="64"/>
      </right>
      <top style="hair">
        <color indexed="64"/>
      </top>
      <bottom style="dotted">
        <color rgb="FF000000"/>
      </bottom>
      <diagonal/>
    </border>
    <border>
      <left style="thin">
        <color indexed="64"/>
      </left>
      <right style="thin">
        <color indexed="64"/>
      </right>
      <top/>
      <bottom style="hair">
        <color indexed="64"/>
      </bottom>
      <diagonal/>
    </border>
    <border>
      <left/>
      <right style="thin">
        <color indexed="64"/>
      </right>
      <top/>
      <bottom style="hair">
        <color indexed="64"/>
      </bottom>
      <diagonal/>
    </border>
    <border>
      <left style="thin">
        <color indexed="64"/>
      </left>
      <right style="thin">
        <color indexed="64"/>
      </right>
      <top/>
      <bottom style="dotted">
        <color rgb="FF000000"/>
      </bottom>
      <diagonal/>
    </border>
    <border>
      <left style="thin">
        <color indexed="64"/>
      </left>
      <right style="thin">
        <color indexed="64"/>
      </right>
      <top/>
      <bottom/>
      <diagonal/>
    </border>
  </borders>
  <cellStyleXfs count="3">
    <xf numFmtId="0" fontId="0" fillId="0" borderId="0"/>
    <xf numFmtId="0" fontId="2" fillId="0" borderId="0"/>
    <xf numFmtId="0" fontId="1" fillId="0" borderId="0"/>
  </cellStyleXfs>
  <cellXfs count="160">
    <xf numFmtId="0" fontId="0" fillId="0" borderId="0" xfId="0"/>
    <xf numFmtId="0" fontId="9" fillId="2" borderId="4" xfId="1" applyFont="1" applyFill="1" applyBorder="1" applyAlignment="1">
      <alignment horizontal="center" vertical="center" wrapText="1"/>
    </xf>
    <xf numFmtId="0" fontId="9" fillId="2" borderId="2" xfId="1" applyFont="1" applyFill="1" applyBorder="1" applyAlignment="1">
      <alignment horizontal="center" vertical="center" wrapText="1"/>
    </xf>
    <xf numFmtId="0" fontId="10" fillId="2" borderId="2" xfId="0" applyFont="1" applyFill="1" applyBorder="1" applyAlignment="1">
      <alignment horizontal="center" vertical="center"/>
    </xf>
    <xf numFmtId="0" fontId="4" fillId="0" borderId="1" xfId="1" quotePrefix="1" applyFont="1" applyBorder="1" applyAlignment="1">
      <alignment horizontal="left" vertical="center" wrapText="1"/>
    </xf>
    <xf numFmtId="14" fontId="12" fillId="0" borderId="1" xfId="1" applyNumberFormat="1" applyFont="1" applyBorder="1" applyAlignment="1">
      <alignment horizontal="center" vertical="center" wrapText="1"/>
    </xf>
    <xf numFmtId="0" fontId="4" fillId="0" borderId="0" xfId="1" quotePrefix="1" applyFont="1" applyAlignment="1">
      <alignment horizontal="left" vertical="center" wrapText="1"/>
    </xf>
    <xf numFmtId="0" fontId="4" fillId="0" borderId="1" xfId="1" applyFont="1" applyBorder="1" applyAlignment="1">
      <alignment horizontal="left" vertical="center" wrapText="1"/>
    </xf>
    <xf numFmtId="0" fontId="7" fillId="0" borderId="1" xfId="0" applyFont="1" applyBorder="1" applyAlignment="1">
      <alignment horizontal="center" vertical="center"/>
    </xf>
    <xf numFmtId="0" fontId="4" fillId="0" borderId="1" xfId="1" applyFont="1" applyBorder="1" applyAlignment="1">
      <alignment horizontal="center" vertical="center"/>
    </xf>
    <xf numFmtId="0" fontId="4" fillId="0" borderId="1" xfId="1" applyFont="1" applyBorder="1" applyAlignment="1">
      <alignment vertical="center" wrapText="1"/>
    </xf>
    <xf numFmtId="0" fontId="7" fillId="0" borderId="1" xfId="0" quotePrefix="1" applyFont="1" applyBorder="1" applyAlignment="1">
      <alignment horizontal="center" vertical="center"/>
    </xf>
    <xf numFmtId="14" fontId="4" fillId="0" borderId="1" xfId="1" applyNumberFormat="1" applyFont="1" applyBorder="1" applyAlignment="1">
      <alignment horizontal="center" vertical="center" wrapText="1"/>
    </xf>
    <xf numFmtId="14" fontId="4" fillId="0" borderId="1" xfId="1" applyNumberFormat="1" applyFont="1" applyBorder="1" applyAlignment="1">
      <alignment vertical="center" wrapText="1"/>
    </xf>
    <xf numFmtId="49" fontId="4" fillId="0" borderId="1" xfId="1" applyNumberFormat="1" applyFont="1" applyBorder="1" applyAlignment="1">
      <alignment horizontal="center" vertical="center" wrapText="1"/>
    </xf>
    <xf numFmtId="0" fontId="4" fillId="0" borderId="3" xfId="1" quotePrefix="1" applyFont="1" applyBorder="1" applyAlignment="1">
      <alignment horizontal="left" vertical="center" wrapText="1"/>
    </xf>
    <xf numFmtId="0" fontId="4" fillId="0" borderId="3" xfId="1" applyFont="1" applyBorder="1" applyAlignment="1">
      <alignment horizontal="left" vertical="center"/>
    </xf>
    <xf numFmtId="14" fontId="4" fillId="0" borderId="3" xfId="1" applyNumberFormat="1" applyFont="1" applyBorder="1" applyAlignment="1">
      <alignment horizontal="center" vertical="center" wrapText="1"/>
    </xf>
    <xf numFmtId="0" fontId="4" fillId="0" borderId="3" xfId="1" applyFont="1" applyBorder="1" applyAlignment="1">
      <alignment horizontal="center" vertical="center"/>
    </xf>
    <xf numFmtId="0" fontId="4" fillId="0" borderId="3" xfId="1" applyFont="1" applyBorder="1" applyAlignment="1">
      <alignment vertical="center" wrapText="1"/>
    </xf>
    <xf numFmtId="49" fontId="9" fillId="2" borderId="2" xfId="1" applyNumberFormat="1" applyFont="1" applyFill="1" applyBorder="1" applyAlignment="1">
      <alignment horizontal="center" vertical="center" wrapText="1"/>
    </xf>
    <xf numFmtId="49" fontId="4" fillId="0" borderId="1" xfId="1" quotePrefix="1" applyNumberFormat="1" applyFont="1" applyBorder="1" applyAlignment="1">
      <alignment horizontal="center" vertical="center" wrapText="1"/>
    </xf>
    <xf numFmtId="49" fontId="4" fillId="0" borderId="3" xfId="1" quotePrefix="1" applyNumberFormat="1" applyFont="1" applyBorder="1" applyAlignment="1">
      <alignment horizontal="center" vertical="center" wrapText="1"/>
    </xf>
    <xf numFmtId="166" fontId="4" fillId="0" borderId="1" xfId="0" applyNumberFormat="1" applyFont="1" applyBorder="1" applyAlignment="1">
      <alignment horizontal="center" wrapText="1"/>
    </xf>
    <xf numFmtId="14" fontId="4" fillId="0" borderId="1" xfId="1" quotePrefix="1" applyNumberFormat="1" applyFont="1" applyBorder="1" applyAlignment="1">
      <alignment horizontal="center" vertical="center" wrapText="1"/>
    </xf>
    <xf numFmtId="0" fontId="4" fillId="0" borderId="1" xfId="0" applyFont="1" applyBorder="1" applyAlignment="1">
      <alignment horizontal="center" vertical="center"/>
    </xf>
    <xf numFmtId="0" fontId="4" fillId="0" borderId="1" xfId="0" quotePrefix="1" applyFont="1" applyBorder="1" applyAlignment="1">
      <alignment horizontal="center" vertical="center"/>
    </xf>
    <xf numFmtId="165" fontId="4" fillId="0" borderId="1" xfId="0" quotePrefix="1" applyNumberFormat="1" applyFont="1" applyBorder="1" applyAlignment="1">
      <alignment horizontal="center" vertical="center"/>
    </xf>
    <xf numFmtId="49" fontId="14" fillId="0" borderId="1" xfId="1" quotePrefix="1" applyNumberFormat="1" applyFont="1" applyBorder="1" applyAlignment="1">
      <alignment horizontal="center" vertical="center" wrapText="1"/>
    </xf>
    <xf numFmtId="0" fontId="14" fillId="0" borderId="1" xfId="1" applyFont="1" applyBorder="1" applyAlignment="1">
      <alignment vertical="center" wrapText="1"/>
    </xf>
    <xf numFmtId="0" fontId="15" fillId="0" borderId="1" xfId="0" quotePrefix="1" applyFont="1" applyBorder="1" applyAlignment="1">
      <alignment horizontal="center" vertical="center"/>
    </xf>
    <xf numFmtId="0" fontId="4" fillId="0" borderId="1" xfId="1" applyFont="1" applyBorder="1" applyAlignment="1">
      <alignment horizontal="left" vertical="center"/>
    </xf>
    <xf numFmtId="0" fontId="14" fillId="0" borderId="1" xfId="1" applyFont="1" applyBorder="1" applyAlignment="1">
      <alignment horizontal="center" vertical="center"/>
    </xf>
    <xf numFmtId="0" fontId="4" fillId="0" borderId="5" xfId="1" quotePrefix="1" applyFont="1" applyBorder="1" applyAlignment="1">
      <alignment horizontal="left" vertical="center" wrapText="1"/>
    </xf>
    <xf numFmtId="0" fontId="4" fillId="0" borderId="5" xfId="1" applyFont="1" applyBorder="1" applyAlignment="1">
      <alignment horizontal="left" vertical="center"/>
    </xf>
    <xf numFmtId="0" fontId="7" fillId="0" borderId="5" xfId="0" applyFont="1" applyBorder="1" applyAlignment="1">
      <alignment horizontal="center" vertical="center"/>
    </xf>
    <xf numFmtId="49" fontId="4" fillId="0" borderId="5" xfId="1" applyNumberFormat="1" applyFont="1" applyBorder="1" applyAlignment="1">
      <alignment horizontal="center" vertical="center" wrapText="1"/>
    </xf>
    <xf numFmtId="14" fontId="4" fillId="0" borderId="5" xfId="1" applyNumberFormat="1" applyFont="1" applyBorder="1" applyAlignment="1">
      <alignment horizontal="center" vertical="center" wrapText="1"/>
    </xf>
    <xf numFmtId="14" fontId="4" fillId="0" borderId="5" xfId="1" applyNumberFormat="1" applyFont="1" applyBorder="1" applyAlignment="1">
      <alignment horizontal="left" vertical="center" wrapText="1"/>
    </xf>
    <xf numFmtId="0" fontId="4" fillId="0" borderId="5" xfId="1" applyFont="1" applyBorder="1" applyAlignment="1">
      <alignment horizontal="center" vertical="center"/>
    </xf>
    <xf numFmtId="0" fontId="4" fillId="0" borderId="5" xfId="1" applyFont="1" applyBorder="1" applyAlignment="1">
      <alignment vertical="center" wrapText="1"/>
    </xf>
    <xf numFmtId="0" fontId="4" fillId="0" borderId="6" xfId="1" quotePrefix="1" applyFont="1" applyBorder="1" applyAlignment="1">
      <alignment horizontal="left" vertical="center" wrapText="1"/>
    </xf>
    <xf numFmtId="0" fontId="4" fillId="0" borderId="6" xfId="1" applyFont="1" applyBorder="1" applyAlignment="1">
      <alignment horizontal="left" vertical="center"/>
    </xf>
    <xf numFmtId="0" fontId="7" fillId="0" borderId="6" xfId="0" applyFont="1" applyBorder="1" applyAlignment="1">
      <alignment horizontal="center" vertical="center"/>
    </xf>
    <xf numFmtId="49" fontId="4" fillId="0" borderId="6" xfId="1" applyNumberFormat="1" applyFont="1" applyBorder="1" applyAlignment="1">
      <alignment horizontal="center" vertical="center" wrapText="1"/>
    </xf>
    <xf numFmtId="14" fontId="4" fillId="0" borderId="6" xfId="1" applyNumberFormat="1" applyFont="1" applyBorder="1" applyAlignment="1">
      <alignment horizontal="center" vertical="center" wrapText="1"/>
    </xf>
    <xf numFmtId="14" fontId="11" fillId="0" borderId="6" xfId="1" applyNumberFormat="1" applyFont="1" applyBorder="1" applyAlignment="1">
      <alignment horizontal="left" vertical="center" wrapText="1"/>
    </xf>
    <xf numFmtId="0" fontId="4" fillId="0" borderId="6" xfId="1" applyFont="1" applyBorder="1" applyAlignment="1">
      <alignment horizontal="center" vertical="center"/>
    </xf>
    <xf numFmtId="0" fontId="4" fillId="0" borderId="6" xfId="1" applyFont="1" applyBorder="1" applyAlignment="1">
      <alignment vertical="center" wrapText="1"/>
    </xf>
    <xf numFmtId="0" fontId="4" fillId="0" borderId="1" xfId="1" quotePrefix="1" applyFont="1" applyBorder="1" applyAlignment="1">
      <alignment horizontal="right" vertical="center" wrapText="1"/>
    </xf>
    <xf numFmtId="0" fontId="4" fillId="0" borderId="1" xfId="1" applyFont="1" applyBorder="1" applyAlignment="1">
      <alignment vertical="center"/>
    </xf>
    <xf numFmtId="0" fontId="13" fillId="0" borderId="1" xfId="0" applyFont="1" applyBorder="1" applyAlignment="1">
      <alignment horizontal="center"/>
    </xf>
    <xf numFmtId="0" fontId="13" fillId="0" borderId="1" xfId="0" quotePrefix="1" applyFont="1" applyBorder="1" applyAlignment="1">
      <alignment horizontal="center"/>
    </xf>
    <xf numFmtId="0" fontId="4" fillId="0" borderId="3" xfId="1" applyFont="1" applyBorder="1" applyAlignment="1">
      <alignment vertical="center"/>
    </xf>
    <xf numFmtId="0" fontId="4" fillId="0" borderId="1" xfId="1" applyFont="1" applyFill="1" applyBorder="1" applyAlignment="1">
      <alignment vertical="center"/>
    </xf>
    <xf numFmtId="0" fontId="4" fillId="0" borderId="1" xfId="1" quotePrefix="1" applyFont="1" applyFill="1" applyBorder="1" applyAlignment="1">
      <alignment horizontal="left" vertical="center" wrapText="1"/>
    </xf>
    <xf numFmtId="49" fontId="14" fillId="0" borderId="1" xfId="1" quotePrefix="1" applyNumberFormat="1" applyFont="1" applyFill="1" applyBorder="1" applyAlignment="1">
      <alignment horizontal="center" vertical="center" wrapText="1"/>
    </xf>
    <xf numFmtId="0" fontId="4" fillId="0" borderId="1" xfId="0" applyFont="1" applyFill="1" applyBorder="1" applyAlignment="1">
      <alignment horizontal="center" vertical="center"/>
    </xf>
    <xf numFmtId="0" fontId="4" fillId="0" borderId="1" xfId="1" applyFont="1" applyFill="1" applyBorder="1" applyAlignment="1">
      <alignment horizontal="center" vertical="center"/>
    </xf>
    <xf numFmtId="0" fontId="14" fillId="0" borderId="1" xfId="1" applyFont="1" applyFill="1" applyBorder="1" applyAlignment="1">
      <alignment horizontal="center" vertical="center"/>
    </xf>
    <xf numFmtId="0" fontId="4" fillId="0" borderId="1" xfId="1" applyFont="1" applyFill="1" applyBorder="1" applyAlignment="1">
      <alignment vertical="center" wrapText="1"/>
    </xf>
    <xf numFmtId="0" fontId="4" fillId="0" borderId="7" xfId="1" applyFont="1" applyBorder="1" applyAlignment="1">
      <alignment horizontal="center" vertical="center"/>
    </xf>
    <xf numFmtId="0" fontId="4" fillId="0" borderId="8" xfId="1" applyFont="1" applyBorder="1" applyAlignment="1">
      <alignment horizontal="center" vertical="center"/>
    </xf>
    <xf numFmtId="0" fontId="13" fillId="0" borderId="10" xfId="0" applyFont="1" applyBorder="1" applyAlignment="1">
      <alignment horizontal="center"/>
    </xf>
    <xf numFmtId="166" fontId="4" fillId="0" borderId="9" xfId="0" applyNumberFormat="1" applyFont="1" applyBorder="1" applyAlignment="1">
      <alignment horizontal="center" wrapText="1"/>
    </xf>
    <xf numFmtId="0" fontId="4" fillId="0" borderId="7" xfId="0" applyFont="1" applyBorder="1" applyAlignment="1" applyProtection="1">
      <alignment horizontal="center" vertical="center"/>
      <protection locked="0"/>
    </xf>
    <xf numFmtId="0" fontId="4" fillId="0" borderId="11" xfId="1" applyFont="1" applyBorder="1" applyAlignment="1">
      <alignment horizontal="center" vertical="center"/>
    </xf>
    <xf numFmtId="165" fontId="4" fillId="0" borderId="1" xfId="0" applyNumberFormat="1" applyFont="1" applyBorder="1" applyAlignment="1">
      <alignment horizontal="center" vertical="center"/>
    </xf>
    <xf numFmtId="14" fontId="4" fillId="0" borderId="1" xfId="1" applyNumberFormat="1" applyFont="1" applyBorder="1" applyAlignment="1">
      <alignment horizontal="left" vertical="center" wrapText="1"/>
    </xf>
    <xf numFmtId="14" fontId="4" fillId="0" borderId="1" xfId="1" applyNumberFormat="1" applyFont="1" applyFill="1" applyBorder="1" applyAlignment="1">
      <alignment horizontal="left" vertical="center" wrapText="1"/>
    </xf>
    <xf numFmtId="14" fontId="11" fillId="0" borderId="1" xfId="1" applyNumberFormat="1" applyFont="1" applyBorder="1" applyAlignment="1">
      <alignment horizontal="left" vertical="center" wrapText="1"/>
    </xf>
    <xf numFmtId="0" fontId="4" fillId="0" borderId="1" xfId="0" quotePrefix="1" applyFont="1" applyFill="1" applyBorder="1" applyAlignment="1">
      <alignment horizontal="center" vertical="center"/>
    </xf>
    <xf numFmtId="49" fontId="4" fillId="0" borderId="1" xfId="1" quotePrefix="1" applyNumberFormat="1" applyFont="1" applyFill="1" applyBorder="1" applyAlignment="1">
      <alignment horizontal="center" vertical="center" wrapText="1"/>
    </xf>
    <xf numFmtId="0" fontId="11" fillId="0" borderId="0" xfId="1" quotePrefix="1" applyFont="1" applyFill="1" applyAlignment="1">
      <alignment horizontal="left" vertical="center" wrapText="1"/>
    </xf>
    <xf numFmtId="0" fontId="11" fillId="0" borderId="1" xfId="0" applyFont="1" applyFill="1" applyBorder="1" applyAlignment="1">
      <alignment horizontal="center"/>
    </xf>
    <xf numFmtId="0" fontId="11" fillId="0" borderId="1" xfId="0" quotePrefix="1" applyFont="1" applyFill="1" applyBorder="1" applyAlignment="1">
      <alignment horizontal="center"/>
    </xf>
    <xf numFmtId="0" fontId="17" fillId="0" borderId="0" xfId="1" quotePrefix="1" applyFont="1" applyFill="1" applyAlignment="1">
      <alignment horizontal="left" vertical="center" wrapText="1"/>
    </xf>
    <xf numFmtId="14" fontId="12" fillId="0" borderId="1" xfId="1" applyNumberFormat="1" applyFont="1" applyFill="1" applyBorder="1" applyAlignment="1">
      <alignment horizontal="center" vertical="center" wrapText="1"/>
    </xf>
    <xf numFmtId="0" fontId="4" fillId="0" borderId="7" xfId="1" applyFont="1" applyFill="1" applyBorder="1" applyAlignment="1">
      <alignment horizontal="center" vertical="center"/>
    </xf>
    <xf numFmtId="0" fontId="4" fillId="0" borderId="8" xfId="1" applyFont="1" applyFill="1" applyBorder="1" applyAlignment="1">
      <alignment horizontal="center" vertical="center"/>
    </xf>
    <xf numFmtId="14" fontId="4" fillId="0" borderId="1" xfId="1" applyNumberFormat="1" applyFont="1" applyFill="1" applyBorder="1" applyAlignment="1">
      <alignment vertical="center" wrapText="1"/>
    </xf>
    <xf numFmtId="0" fontId="4" fillId="0" borderId="0" xfId="1" quotePrefix="1" applyFont="1" applyFill="1" applyAlignment="1">
      <alignment horizontal="left" vertical="center" wrapText="1"/>
    </xf>
    <xf numFmtId="165" fontId="4" fillId="0" borderId="1" xfId="0" quotePrefix="1" applyNumberFormat="1" applyFont="1" applyFill="1" applyBorder="1" applyAlignment="1">
      <alignment horizontal="center" vertical="center"/>
    </xf>
    <xf numFmtId="166" fontId="4" fillId="0" borderId="1" xfId="0" quotePrefix="1" applyNumberFormat="1" applyFont="1" applyBorder="1" applyAlignment="1">
      <alignment horizontal="center" wrapText="1"/>
    </xf>
    <xf numFmtId="166" fontId="4" fillId="0" borderId="9" xfId="0" quotePrefix="1" applyNumberFormat="1" applyFont="1" applyBorder="1" applyAlignment="1">
      <alignment horizontal="center" wrapText="1"/>
    </xf>
    <xf numFmtId="0" fontId="4" fillId="0" borderId="0" xfId="1" applyFont="1" applyAlignment="1">
      <alignment horizontal="center" vertical="center"/>
    </xf>
    <xf numFmtId="0" fontId="4" fillId="0" borderId="6" xfId="1" quotePrefix="1" applyFont="1" applyBorder="1" applyAlignment="1">
      <alignment vertical="center" wrapText="1"/>
    </xf>
    <xf numFmtId="0" fontId="4" fillId="0" borderId="1" xfId="1" quotePrefix="1" applyFont="1" applyBorder="1" applyAlignment="1">
      <alignment vertical="center" wrapText="1"/>
    </xf>
    <xf numFmtId="14" fontId="16" fillId="0" borderId="1" xfId="1" applyNumberFormat="1" applyFont="1" applyBorder="1" applyAlignment="1">
      <alignment horizontal="center" vertical="center" wrapText="1"/>
    </xf>
    <xf numFmtId="0" fontId="18" fillId="0" borderId="1" xfId="1" applyFont="1" applyFill="1" applyBorder="1" applyAlignment="1">
      <alignment horizontal="center" vertical="center"/>
    </xf>
    <xf numFmtId="0" fontId="4" fillId="0" borderId="7" xfId="0" applyFont="1" applyFill="1" applyBorder="1" applyAlignment="1" applyProtection="1">
      <alignment horizontal="center" vertical="center"/>
      <protection locked="0"/>
    </xf>
    <xf numFmtId="0" fontId="4" fillId="0" borderId="12" xfId="0" applyFont="1" applyFill="1" applyBorder="1" applyAlignment="1" applyProtection="1">
      <alignment horizontal="center" vertical="center"/>
      <protection locked="0"/>
    </xf>
    <xf numFmtId="0" fontId="11" fillId="0" borderId="0" xfId="1" quotePrefix="1" applyFont="1" applyAlignment="1">
      <alignment horizontal="left" vertical="center" wrapText="1"/>
    </xf>
    <xf numFmtId="0" fontId="4" fillId="0" borderId="5" xfId="1" quotePrefix="1" applyFont="1" applyBorder="1" applyAlignment="1">
      <alignment horizontal="center" vertical="center" wrapText="1"/>
    </xf>
    <xf numFmtId="0" fontId="4" fillId="0" borderId="6" xfId="1" quotePrefix="1" applyFont="1" applyBorder="1" applyAlignment="1">
      <alignment horizontal="center" vertical="center" wrapText="1"/>
    </xf>
    <xf numFmtId="0" fontId="4" fillId="0" borderId="1" xfId="1" quotePrefix="1" applyFont="1" applyBorder="1" applyAlignment="1">
      <alignment horizontal="center" vertical="center" wrapText="1"/>
    </xf>
    <xf numFmtId="0" fontId="4" fillId="0" borderId="1" xfId="1" applyFont="1" applyBorder="1" applyAlignment="1">
      <alignment horizontal="center" vertical="center" wrapText="1"/>
    </xf>
    <xf numFmtId="0" fontId="4" fillId="0" borderId="1" xfId="1" applyFont="1" applyFill="1" applyBorder="1" applyAlignment="1">
      <alignment horizontal="center" vertical="center" wrapText="1"/>
    </xf>
    <xf numFmtId="0" fontId="4" fillId="0" borderId="3" xfId="1" quotePrefix="1" applyFont="1" applyBorder="1" applyAlignment="1">
      <alignment horizontal="center" vertical="center" wrapText="1"/>
    </xf>
    <xf numFmtId="0" fontId="11" fillId="0" borderId="0" xfId="1" applyFont="1" applyFill="1" applyAlignment="1">
      <alignment vertical="center"/>
    </xf>
    <xf numFmtId="0" fontId="4" fillId="0" borderId="0" xfId="1" applyFont="1" applyAlignment="1">
      <alignment vertical="center"/>
    </xf>
    <xf numFmtId="0" fontId="7" fillId="0" borderId="0" xfId="0" applyFont="1" applyAlignment="1">
      <alignment horizontal="center" vertical="center"/>
    </xf>
    <xf numFmtId="49" fontId="4" fillId="0" borderId="0" xfId="1" applyNumberFormat="1" applyFont="1" applyAlignment="1">
      <alignment horizontal="center" vertical="center"/>
    </xf>
    <xf numFmtId="0" fontId="9" fillId="0" borderId="0" xfId="1" applyFont="1" applyAlignment="1">
      <alignment horizontal="center" vertical="center"/>
    </xf>
    <xf numFmtId="0" fontId="4" fillId="0" borderId="0" xfId="1" applyFont="1" applyAlignment="1">
      <alignment horizontal="center" vertical="center" wrapText="1"/>
    </xf>
    <xf numFmtId="0" fontId="4" fillId="0" borderId="0" xfId="1" applyFont="1" applyAlignment="1">
      <alignment vertical="center" wrapText="1"/>
    </xf>
    <xf numFmtId="0" fontId="5" fillId="0" borderId="0" xfId="1" applyFont="1" applyAlignment="1">
      <alignment vertical="center"/>
    </xf>
    <xf numFmtId="0" fontId="6" fillId="0" borderId="0" xfId="0" applyFont="1" applyAlignment="1">
      <alignment vertical="center"/>
    </xf>
    <xf numFmtId="0" fontId="7" fillId="0" borderId="0" xfId="0" applyFont="1" applyAlignment="1">
      <alignment vertical="center"/>
    </xf>
    <xf numFmtId="0" fontId="0" fillId="0" borderId="0" xfId="0" applyAlignment="1">
      <alignment vertical="center"/>
    </xf>
    <xf numFmtId="0" fontId="8" fillId="0" borderId="0" xfId="0" applyFont="1" applyAlignment="1">
      <alignment vertical="center"/>
    </xf>
    <xf numFmtId="0" fontId="4" fillId="0" borderId="0" xfId="1" applyFont="1" applyAlignment="1">
      <alignment horizontal="left" vertical="center"/>
    </xf>
    <xf numFmtId="14" fontId="4" fillId="0" borderId="0" xfId="1" applyNumberFormat="1" applyFont="1" applyAlignment="1">
      <alignment horizontal="left" vertical="center"/>
    </xf>
    <xf numFmtId="49" fontId="4" fillId="0" borderId="0" xfId="1" applyNumberFormat="1" applyFont="1" applyAlignment="1">
      <alignment horizontal="left" vertical="center"/>
    </xf>
    <xf numFmtId="0" fontId="11" fillId="0" borderId="0" xfId="1" applyFont="1" applyAlignment="1">
      <alignment horizontal="left" vertical="center"/>
    </xf>
    <xf numFmtId="0" fontId="11" fillId="0" borderId="0" xfId="1" applyFont="1" applyAlignment="1">
      <alignment vertical="center"/>
    </xf>
    <xf numFmtId="49" fontId="4" fillId="0" borderId="0" xfId="1" applyNumberFormat="1" applyFont="1" applyAlignment="1">
      <alignment vertical="center"/>
    </xf>
    <xf numFmtId="0" fontId="4" fillId="0" borderId="1" xfId="0" applyFont="1" applyBorder="1" applyAlignment="1">
      <alignment vertical="center"/>
    </xf>
    <xf numFmtId="0" fontId="4" fillId="0" borderId="1" xfId="0" applyFont="1" applyBorder="1" applyAlignment="1">
      <alignment vertical="center" wrapText="1"/>
    </xf>
    <xf numFmtId="166" fontId="4" fillId="0" borderId="1" xfId="0" quotePrefix="1" applyNumberFormat="1" applyFont="1" applyBorder="1" applyAlignment="1">
      <alignment horizontal="center" vertical="center" wrapText="1"/>
    </xf>
    <xf numFmtId="0" fontId="4" fillId="0" borderId="0" xfId="1" applyFont="1" applyFill="1" applyAlignment="1">
      <alignment vertical="center"/>
    </xf>
    <xf numFmtId="0" fontId="17" fillId="0" borderId="0" xfId="1" applyFont="1" applyFill="1" applyAlignment="1">
      <alignment vertical="center"/>
    </xf>
    <xf numFmtId="0" fontId="4" fillId="0" borderId="9" xfId="0" applyFont="1" applyBorder="1" applyAlignment="1">
      <alignment horizontal="center" vertical="center"/>
    </xf>
    <xf numFmtId="0" fontId="4" fillId="0" borderId="9" xfId="0" applyFont="1" applyFill="1" applyBorder="1" applyAlignment="1">
      <alignment horizontal="center" vertical="center"/>
    </xf>
    <xf numFmtId="0" fontId="4" fillId="0" borderId="0" xfId="1" applyFont="1" applyAlignment="1">
      <alignment horizontal="left" vertical="center" wrapText="1"/>
    </xf>
    <xf numFmtId="49" fontId="4" fillId="0" borderId="0" xfId="1" applyNumberFormat="1" applyFont="1" applyAlignment="1">
      <alignment horizontal="center" vertical="center" wrapText="1"/>
    </xf>
    <xf numFmtId="49" fontId="4" fillId="0" borderId="0" xfId="1" quotePrefix="1" applyNumberFormat="1" applyFont="1" applyAlignment="1">
      <alignment horizontal="center" vertical="center" wrapText="1"/>
    </xf>
    <xf numFmtId="0" fontId="4" fillId="0" borderId="0" xfId="1" quotePrefix="1" applyFont="1" applyAlignment="1">
      <alignment horizontal="center" vertical="center" wrapText="1"/>
    </xf>
    <xf numFmtId="0" fontId="11" fillId="0" borderId="1" xfId="0" quotePrefix="1" applyFont="1" applyBorder="1" applyAlignment="1">
      <alignment horizontal="center" vertical="center"/>
    </xf>
    <xf numFmtId="49" fontId="11" fillId="0" borderId="1" xfId="1" quotePrefix="1" applyNumberFormat="1" applyFont="1" applyBorder="1" applyAlignment="1">
      <alignment horizontal="center" vertical="center" wrapText="1"/>
    </xf>
    <xf numFmtId="0" fontId="4" fillId="0" borderId="10" xfId="0" applyFont="1" applyBorder="1" applyAlignment="1">
      <alignment horizontal="center" vertical="center"/>
    </xf>
    <xf numFmtId="166" fontId="4" fillId="0" borderId="9" xfId="0" quotePrefix="1" applyNumberFormat="1" applyFont="1" applyBorder="1" applyAlignment="1">
      <alignment horizontal="center" vertical="center" wrapText="1"/>
    </xf>
    <xf numFmtId="0" fontId="4" fillId="0" borderId="1" xfId="0" applyFont="1" applyFill="1" applyBorder="1" applyAlignment="1">
      <alignment vertical="center"/>
    </xf>
    <xf numFmtId="14" fontId="4" fillId="0" borderId="1" xfId="1" quotePrefix="1" applyNumberFormat="1" applyFont="1" applyFill="1" applyBorder="1" applyAlignment="1">
      <alignment horizontal="center" vertical="center" wrapText="1"/>
    </xf>
    <xf numFmtId="0" fontId="19" fillId="0" borderId="1" xfId="1" applyFont="1" applyFill="1" applyBorder="1" applyAlignment="1">
      <alignment vertical="center"/>
    </xf>
    <xf numFmtId="0" fontId="19" fillId="0" borderId="1" xfId="1" applyFont="1" applyFill="1" applyBorder="1" applyAlignment="1">
      <alignment horizontal="center" vertical="center" wrapText="1"/>
    </xf>
    <xf numFmtId="0" fontId="19" fillId="0" borderId="1" xfId="1" quotePrefix="1" applyFont="1" applyFill="1" applyBorder="1" applyAlignment="1">
      <alignment horizontal="left" vertical="center" wrapText="1"/>
    </xf>
    <xf numFmtId="0" fontId="19" fillId="0" borderId="1" xfId="0" applyFont="1" applyFill="1" applyBorder="1" applyAlignment="1">
      <alignment horizontal="center" vertical="center"/>
    </xf>
    <xf numFmtId="49" fontId="18" fillId="0" borderId="1" xfId="1" quotePrefix="1" applyNumberFormat="1" applyFont="1" applyFill="1" applyBorder="1" applyAlignment="1">
      <alignment horizontal="center" vertical="center" wrapText="1"/>
    </xf>
    <xf numFmtId="14" fontId="20" fillId="0" borderId="1" xfId="1" applyNumberFormat="1" applyFont="1" applyFill="1" applyBorder="1" applyAlignment="1">
      <alignment horizontal="center" vertical="center" wrapText="1"/>
    </xf>
    <xf numFmtId="14" fontId="19" fillId="0" borderId="1" xfId="1" applyNumberFormat="1" applyFont="1" applyFill="1" applyBorder="1" applyAlignment="1">
      <alignment horizontal="left" vertical="center" wrapText="1"/>
    </xf>
    <xf numFmtId="0" fontId="19" fillId="0" borderId="1" xfId="1" applyFont="1" applyFill="1" applyBorder="1" applyAlignment="1">
      <alignment horizontal="center" vertical="center"/>
    </xf>
    <xf numFmtId="0" fontId="9" fillId="0" borderId="1" xfId="1" applyFont="1" applyFill="1" applyBorder="1" applyAlignment="1">
      <alignment vertical="center" wrapText="1"/>
    </xf>
    <xf numFmtId="0" fontId="4" fillId="0" borderId="11" xfId="1" applyFont="1" applyFill="1" applyBorder="1" applyAlignment="1">
      <alignment horizontal="center" vertical="center"/>
    </xf>
    <xf numFmtId="49" fontId="4" fillId="0" borderId="1" xfId="0" quotePrefix="1" applyNumberFormat="1" applyFont="1" applyBorder="1" applyAlignment="1">
      <alignment horizontal="center" vertical="center"/>
    </xf>
    <xf numFmtId="0" fontId="4" fillId="0" borderId="3" xfId="0" applyFont="1" applyBorder="1" applyAlignment="1">
      <alignment horizontal="center" vertical="center"/>
    </xf>
    <xf numFmtId="14" fontId="4" fillId="0" borderId="3" xfId="1" applyNumberFormat="1" applyFont="1" applyBorder="1" applyAlignment="1">
      <alignment horizontal="left" vertical="center" wrapText="1"/>
    </xf>
    <xf numFmtId="0" fontId="4" fillId="0" borderId="0" xfId="0" applyFont="1" applyAlignment="1">
      <alignment horizontal="center" vertical="center"/>
    </xf>
    <xf numFmtId="0" fontId="11" fillId="0" borderId="1" xfId="1" applyFont="1" applyBorder="1" applyAlignment="1">
      <alignment horizontal="center" vertical="center" wrapText="1"/>
    </xf>
    <xf numFmtId="0" fontId="11" fillId="0" borderId="1" xfId="1" quotePrefix="1" applyFont="1" applyBorder="1" applyAlignment="1">
      <alignment horizontal="left" vertical="center" wrapText="1"/>
    </xf>
    <xf numFmtId="0" fontId="11" fillId="0" borderId="1" xfId="0" applyFont="1" applyBorder="1" applyAlignment="1">
      <alignment horizontal="center" vertical="center"/>
    </xf>
    <xf numFmtId="14" fontId="11" fillId="0" borderId="1" xfId="1" quotePrefix="1" applyNumberFormat="1" applyFont="1" applyBorder="1" applyAlignment="1">
      <alignment horizontal="center" vertical="center" wrapText="1"/>
    </xf>
    <xf numFmtId="0" fontId="11" fillId="0" borderId="1" xfId="1" applyFont="1" applyBorder="1" applyAlignment="1">
      <alignment horizontal="center" vertical="center"/>
    </xf>
    <xf numFmtId="0" fontId="4" fillId="0" borderId="1" xfId="1" applyFont="1" applyFill="1" applyBorder="1" applyAlignment="1">
      <alignment horizontal="right" vertical="center"/>
    </xf>
    <xf numFmtId="0" fontId="4" fillId="0" borderId="0" xfId="1" applyFont="1" applyAlignment="1">
      <alignment horizontal="center" vertical="center"/>
    </xf>
    <xf numFmtId="0" fontId="7" fillId="0" borderId="0" xfId="0" applyFont="1" applyAlignment="1">
      <alignment horizontal="center" vertical="center"/>
    </xf>
    <xf numFmtId="164" fontId="11" fillId="0" borderId="0" xfId="1" applyNumberFormat="1" applyFont="1" applyAlignment="1">
      <alignment horizontal="left" vertical="center"/>
    </xf>
    <xf numFmtId="164" fontId="11" fillId="0" borderId="0" xfId="1" quotePrefix="1" applyNumberFormat="1" applyFont="1" applyAlignment="1">
      <alignment horizontal="left" vertical="center"/>
    </xf>
    <xf numFmtId="0" fontId="11" fillId="0" borderId="1" xfId="0" applyFont="1" applyFill="1" applyBorder="1" applyAlignment="1">
      <alignment horizontal="center" vertical="center"/>
    </xf>
    <xf numFmtId="49" fontId="11" fillId="0" borderId="1" xfId="1" quotePrefix="1" applyNumberFormat="1" applyFont="1" applyFill="1" applyBorder="1" applyAlignment="1">
      <alignment horizontal="center" vertical="center" wrapText="1"/>
    </xf>
  </cellXfs>
  <cellStyles count="3">
    <cellStyle name="Normal" xfId="0" builtinId="0"/>
    <cellStyle name="Standaard 2" xfId="1" xr:uid="{00000000-0005-0000-0000-000001000000}"/>
    <cellStyle name="Standaard 2 2" xfId="2" xr:uid="{00000000-0005-0000-0000-000002000000}"/>
  </cellStyles>
  <dxfs count="121">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ill>
        <patternFill patternType="none">
          <bgColor auto="1"/>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ill>
        <patternFill patternType="none">
          <bgColor auto="1"/>
        </patternFill>
      </fill>
    </dxf>
    <dxf>
      <font>
        <color rgb="FF9C0006"/>
      </font>
      <fill>
        <patternFill>
          <bgColor rgb="FFFFC7CE"/>
        </patternFill>
      </fill>
    </dxf>
    <dxf>
      <fill>
        <patternFill patternType="none">
          <bgColor auto="1"/>
        </patternFill>
      </fill>
    </dxf>
    <dxf>
      <font>
        <color rgb="FF9C0006"/>
      </font>
      <fill>
        <patternFill>
          <bgColor rgb="FFFFC7CE"/>
        </patternFill>
      </fill>
    </dxf>
    <dxf>
      <fill>
        <patternFill patternType="none">
          <bgColor auto="1"/>
        </patternFill>
      </fill>
    </dxf>
    <dxf>
      <font>
        <color rgb="FF9C0006"/>
      </font>
      <fill>
        <patternFill>
          <bgColor rgb="FFFFC7CE"/>
        </patternFill>
      </fill>
    </dxf>
    <dxf>
      <fill>
        <patternFill patternType="none">
          <bgColor auto="1"/>
        </patternFill>
      </fill>
    </dxf>
    <dxf>
      <font>
        <color rgb="FF9C0006"/>
      </font>
      <fill>
        <patternFill>
          <bgColor rgb="FFFFC7CE"/>
        </patternFill>
      </fill>
    </dxf>
    <dxf>
      <font>
        <color rgb="FF9C0006"/>
      </font>
      <fill>
        <patternFill>
          <bgColor rgb="FFFFC7CE"/>
        </patternFill>
      </fill>
    </dxf>
    <dxf>
      <fill>
        <patternFill patternType="none">
          <bgColor auto="1"/>
        </patternFill>
      </fill>
    </dxf>
    <dxf>
      <font>
        <color rgb="FF9C0006"/>
      </font>
      <fill>
        <patternFill>
          <bgColor rgb="FFFFC7CE"/>
        </patternFill>
      </fill>
    </dxf>
    <dxf>
      <fill>
        <patternFill patternType="none">
          <bgColor auto="1"/>
        </patternFill>
      </fill>
    </dxf>
    <dxf>
      <fill>
        <patternFill patternType="none">
          <bgColor auto="1"/>
        </patternFill>
      </fill>
    </dxf>
    <dxf>
      <font>
        <color rgb="FF9C0006"/>
      </font>
      <fill>
        <patternFill>
          <bgColor rgb="FFFFC7CE"/>
        </patternFill>
      </fill>
    </dxf>
    <dxf>
      <fill>
        <patternFill patternType="none">
          <bgColor auto="1"/>
        </patternFill>
      </fill>
    </dxf>
    <dxf>
      <font>
        <color rgb="FF006100"/>
      </font>
      <fill>
        <patternFill>
          <bgColor rgb="FFC6EFCE"/>
        </patternFill>
      </fill>
    </dxf>
    <dxf>
      <font>
        <color rgb="FF9C0006"/>
      </font>
      <fill>
        <patternFill>
          <bgColor rgb="FFFFC7CE"/>
        </patternFill>
      </fill>
    </dxf>
    <dxf>
      <fill>
        <patternFill patternType="none">
          <bgColor auto="1"/>
        </patternFill>
      </fill>
    </dxf>
    <dxf>
      <font>
        <color rgb="FF006100"/>
      </font>
      <fill>
        <patternFill>
          <bgColor rgb="FFC6EFCE"/>
        </patternFill>
      </fill>
    </dxf>
    <dxf>
      <font>
        <color rgb="FF9C0006"/>
      </font>
      <fill>
        <patternFill>
          <bgColor rgb="FFFFC7CE"/>
        </patternFill>
      </fill>
    </dxf>
    <dxf>
      <fill>
        <patternFill patternType="none">
          <bgColor auto="1"/>
        </patternFill>
      </fill>
    </dxf>
    <dxf>
      <font>
        <color rgb="FF006100"/>
      </font>
      <fill>
        <patternFill>
          <bgColor rgb="FFC6EFCE"/>
        </patternFill>
      </fill>
    </dxf>
    <dxf>
      <font>
        <color rgb="FF9C0006"/>
      </font>
      <fill>
        <patternFill>
          <bgColor rgb="FFFFC7CE"/>
        </patternFill>
      </fill>
    </dxf>
    <dxf>
      <fill>
        <patternFill patternType="none">
          <bgColor auto="1"/>
        </patternFill>
      </fill>
    </dxf>
    <dxf>
      <font>
        <color rgb="FF006100"/>
      </font>
      <fill>
        <patternFill>
          <bgColor rgb="FFC6EFCE"/>
        </patternFill>
      </fill>
    </dxf>
    <dxf>
      <font>
        <color rgb="FF9C0006"/>
      </font>
      <fill>
        <patternFill>
          <bgColor rgb="FFFFC7CE"/>
        </patternFill>
      </fill>
    </dxf>
    <dxf>
      <fill>
        <patternFill patternType="none">
          <bgColor auto="1"/>
        </patternFill>
      </fill>
    </dxf>
    <dxf>
      <font>
        <color rgb="FF006100"/>
      </font>
      <fill>
        <patternFill>
          <bgColor rgb="FFC6EFCE"/>
        </patternFill>
      </fill>
    </dxf>
    <dxf>
      <font>
        <color rgb="FF9C0006"/>
      </font>
      <fill>
        <patternFill>
          <bgColor rgb="FFFFC7CE"/>
        </patternFill>
      </fill>
    </dxf>
    <dxf>
      <fill>
        <patternFill patternType="none">
          <bgColor auto="1"/>
        </patternFill>
      </fill>
    </dxf>
    <dxf>
      <font>
        <color rgb="FF006100"/>
      </font>
      <fill>
        <patternFill>
          <bgColor rgb="FFC6EFCE"/>
        </patternFill>
      </fill>
    </dxf>
    <dxf>
      <font>
        <color rgb="FF9C0006"/>
      </font>
      <fill>
        <patternFill>
          <bgColor rgb="FFFFC7CE"/>
        </patternFill>
      </fill>
    </dxf>
    <dxf>
      <fill>
        <patternFill patternType="none">
          <bgColor auto="1"/>
        </patternFill>
      </fill>
    </dxf>
    <dxf>
      <font>
        <color rgb="FF006100"/>
      </font>
      <fill>
        <patternFill>
          <bgColor rgb="FFC6EFCE"/>
        </patternFill>
      </fill>
    </dxf>
    <dxf>
      <font>
        <color rgb="FF9C0006"/>
      </font>
      <fill>
        <patternFill>
          <bgColor rgb="FFFFC7CE"/>
        </patternFill>
      </fill>
    </dxf>
    <dxf>
      <fill>
        <patternFill patternType="none">
          <bgColor auto="1"/>
        </patternFill>
      </fill>
    </dxf>
    <dxf>
      <font>
        <color rgb="FF006100"/>
      </font>
      <fill>
        <patternFill>
          <bgColor rgb="FFC6EFCE"/>
        </patternFill>
      </fill>
    </dxf>
    <dxf>
      <font>
        <color rgb="FF9C0006"/>
      </font>
      <fill>
        <patternFill>
          <bgColor rgb="FFFFC7CE"/>
        </patternFill>
      </fill>
    </dxf>
    <dxf>
      <fill>
        <patternFill patternType="none">
          <bgColor auto="1"/>
        </patternFill>
      </fill>
    </dxf>
    <dxf>
      <font>
        <color rgb="FF006100"/>
      </font>
      <fill>
        <patternFill>
          <bgColor rgb="FFC6EFCE"/>
        </patternFill>
      </fill>
    </dxf>
    <dxf>
      <font>
        <color rgb="FF9C0006"/>
      </font>
      <fill>
        <patternFill>
          <bgColor rgb="FFFFC7CE"/>
        </patternFill>
      </fill>
    </dxf>
    <dxf>
      <fill>
        <patternFill patternType="none">
          <bgColor auto="1"/>
        </patternFill>
      </fill>
    </dxf>
    <dxf>
      <font>
        <color rgb="FF006100"/>
      </font>
      <fill>
        <patternFill>
          <bgColor rgb="FFC6EFCE"/>
        </patternFill>
      </fill>
    </dxf>
    <dxf>
      <font>
        <color rgb="FF9C0006"/>
      </font>
      <fill>
        <patternFill>
          <bgColor rgb="FFFFC7CE"/>
        </patternFill>
      </fill>
    </dxf>
    <dxf>
      <fill>
        <patternFill patternType="none">
          <bgColor auto="1"/>
        </patternFill>
      </fill>
    </dxf>
    <dxf>
      <font>
        <color rgb="FF006100"/>
      </font>
      <fill>
        <patternFill>
          <bgColor rgb="FFC6EFCE"/>
        </patternFill>
      </fill>
    </dxf>
    <dxf>
      <font>
        <color rgb="FF9C0006"/>
      </font>
      <fill>
        <patternFill>
          <bgColor rgb="FFFFC7CE"/>
        </patternFill>
      </fill>
    </dxf>
    <dxf>
      <fill>
        <patternFill patternType="none">
          <bgColor auto="1"/>
        </patternFill>
      </fill>
    </dxf>
    <dxf>
      <font>
        <color rgb="FF006100"/>
      </font>
      <fill>
        <patternFill>
          <bgColor rgb="FFC6EFCE"/>
        </patternFill>
      </fill>
    </dxf>
    <dxf>
      <font>
        <color rgb="FF9C0006"/>
      </font>
      <fill>
        <patternFill>
          <bgColor rgb="FFFFC7CE"/>
        </patternFill>
      </fill>
    </dxf>
    <dxf>
      <fill>
        <patternFill patternType="none">
          <bgColor auto="1"/>
        </patternFill>
      </fill>
    </dxf>
    <dxf>
      <font>
        <color rgb="FF006100"/>
      </font>
      <fill>
        <patternFill>
          <bgColor rgb="FFC6EFCE"/>
        </patternFill>
      </fill>
    </dxf>
    <dxf>
      <font>
        <color rgb="FF9C0006"/>
      </font>
      <fill>
        <patternFill>
          <bgColor rgb="FFFFC7CE"/>
        </patternFill>
      </fill>
    </dxf>
    <dxf>
      <fill>
        <patternFill patternType="none">
          <bgColor auto="1"/>
        </patternFill>
      </fill>
    </dxf>
    <dxf>
      <font>
        <color rgb="FF006100"/>
      </font>
      <fill>
        <patternFill>
          <bgColor rgb="FFC6EFCE"/>
        </patternFill>
      </fill>
    </dxf>
    <dxf>
      <font>
        <color rgb="FF9C0006"/>
      </font>
      <fill>
        <patternFill>
          <bgColor rgb="FFFFC7CE"/>
        </patternFill>
      </fill>
    </dxf>
    <dxf>
      <fill>
        <patternFill patternType="none">
          <bgColor auto="1"/>
        </patternFill>
      </fill>
    </dxf>
    <dxf>
      <font>
        <color rgb="FF006100"/>
      </font>
      <fill>
        <patternFill>
          <bgColor rgb="FFC6EFCE"/>
        </patternFill>
      </fill>
    </dxf>
    <dxf>
      <font>
        <color rgb="FF9C0006"/>
      </font>
      <fill>
        <patternFill>
          <bgColor rgb="FFFFC7CE"/>
        </patternFill>
      </fill>
    </dxf>
    <dxf>
      <fill>
        <patternFill patternType="none">
          <bgColor auto="1"/>
        </patternFill>
      </fill>
    </dxf>
    <dxf>
      <font>
        <color rgb="FF006100"/>
      </font>
      <fill>
        <patternFill>
          <bgColor rgb="FFC6EFCE"/>
        </patternFill>
      </fill>
    </dxf>
    <dxf>
      <font>
        <color rgb="FF9C0006"/>
      </font>
      <fill>
        <patternFill>
          <bgColor rgb="FFFFC7CE"/>
        </patternFill>
      </fill>
    </dxf>
    <dxf>
      <fill>
        <patternFill patternType="none">
          <bgColor auto="1"/>
        </patternFill>
      </fill>
    </dxf>
    <dxf>
      <font>
        <color rgb="FF006100"/>
      </font>
      <fill>
        <patternFill>
          <bgColor rgb="FFC6EFCE"/>
        </patternFill>
      </fill>
    </dxf>
    <dxf>
      <fill>
        <patternFill patternType="none">
          <bgColor auto="1"/>
        </patternFill>
      </fill>
    </dxf>
    <dxf>
      <font>
        <color rgb="FF9C0006"/>
      </font>
      <fill>
        <patternFill>
          <bgColor rgb="FFFFC7CE"/>
        </patternFill>
      </fill>
    </dxf>
    <dxf>
      <font>
        <color rgb="FF9C0006"/>
      </font>
      <fill>
        <patternFill>
          <bgColor rgb="FFFFC7CE"/>
        </patternFill>
      </fill>
    </dxf>
    <dxf>
      <fill>
        <patternFill patternType="none">
          <bgColor auto="1"/>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ill>
        <patternFill patternType="none">
          <bgColor auto="1"/>
        </patternFill>
      </fill>
    </dxf>
    <dxf>
      <fill>
        <patternFill patternType="none">
          <bgColor auto="1"/>
        </patternFill>
      </fill>
    </dxf>
    <dxf>
      <font>
        <color rgb="FF9C0006"/>
      </font>
      <fill>
        <patternFill>
          <bgColor rgb="FFFFC7CE"/>
        </patternFill>
      </fill>
    </dxf>
    <dxf>
      <font>
        <color rgb="FF9C0006"/>
      </font>
      <fill>
        <patternFill>
          <bgColor rgb="FFFFC7CE"/>
        </patternFill>
      </fill>
    </dxf>
    <dxf>
      <fill>
        <patternFill patternType="none">
          <bgColor auto="1"/>
        </patternFill>
      </fill>
    </dxf>
    <dxf>
      <font>
        <color rgb="FF9C0006"/>
      </font>
      <fill>
        <patternFill>
          <bgColor rgb="FFFFC7CE"/>
        </patternFill>
      </fill>
    </dxf>
    <dxf>
      <fill>
        <patternFill patternType="none">
          <bgColor auto="1"/>
        </patternFill>
      </fill>
    </dxf>
    <dxf>
      <font>
        <color rgb="FF9C0006"/>
      </font>
      <fill>
        <patternFill>
          <bgColor rgb="FFFFC7CE"/>
        </patternFill>
      </fill>
    </dxf>
    <dxf>
      <fill>
        <patternFill patternType="none">
          <bgColor auto="1"/>
        </patternFill>
      </fill>
    </dxf>
    <dxf>
      <font>
        <color rgb="FF9C0006"/>
      </font>
      <fill>
        <patternFill>
          <bgColor rgb="FFFFC7CE"/>
        </patternFill>
      </fill>
    </dxf>
    <dxf>
      <fill>
        <patternFill patternType="none">
          <bgColor auto="1"/>
        </patternFill>
      </fill>
    </dxf>
    <dxf>
      <font>
        <color rgb="FF9C0006"/>
      </font>
      <fill>
        <patternFill>
          <bgColor rgb="FFFFC7CE"/>
        </patternFill>
      </fill>
    </dxf>
    <dxf>
      <fill>
        <patternFill patternType="none">
          <bgColor auto="1"/>
        </patternFill>
      </fill>
    </dxf>
    <dxf>
      <font>
        <color rgb="FF9C0006"/>
      </font>
      <fill>
        <patternFill>
          <bgColor rgb="FFFFC7CE"/>
        </patternFill>
      </fill>
    </dxf>
    <dxf>
      <fill>
        <patternFill patternType="none">
          <bgColor auto="1"/>
        </patternFill>
      </fill>
    </dxf>
    <dxf>
      <font>
        <color rgb="FF9C0006"/>
      </font>
      <fill>
        <patternFill>
          <bgColor rgb="FFFFC7CE"/>
        </patternFill>
      </fill>
    </dxf>
    <dxf>
      <fill>
        <patternFill patternType="none">
          <bgColor auto="1"/>
        </patternFill>
      </fill>
    </dxf>
    <dxf>
      <font>
        <color rgb="FF9C0006"/>
      </font>
      <fill>
        <patternFill>
          <bgColor rgb="FFFFC7CE"/>
        </patternFill>
      </fill>
    </dxf>
    <dxf>
      <fill>
        <patternFill patternType="none">
          <bgColor auto="1"/>
        </patternFill>
      </fill>
    </dxf>
    <dxf>
      <font>
        <color rgb="FF9C0006"/>
      </font>
      <fill>
        <patternFill>
          <bgColor rgb="FFFFC7CE"/>
        </patternFill>
      </fill>
    </dxf>
    <dxf>
      <font>
        <color rgb="FF9C0006"/>
      </font>
      <fill>
        <patternFill>
          <bgColor rgb="FFFFC7CE"/>
        </patternFill>
      </fill>
    </dxf>
    <dxf>
      <fill>
        <patternFill patternType="none">
          <bgColor auto="1"/>
        </patternFill>
      </fill>
    </dxf>
    <dxf>
      <fill>
        <patternFill patternType="none">
          <bgColor auto="1"/>
        </patternFill>
      </fill>
    </dxf>
    <dxf>
      <font>
        <color rgb="FF9C0006"/>
      </font>
      <fill>
        <patternFill>
          <bgColor rgb="FFFFC7CE"/>
        </patternFill>
      </fill>
    </dxf>
    <dxf>
      <fill>
        <patternFill patternType="none">
          <bgColor auto="1"/>
        </patternFill>
      </fill>
    </dxf>
    <dxf>
      <font>
        <color rgb="FF9C0006"/>
      </font>
      <fill>
        <patternFill>
          <bgColor rgb="FFFFC7CE"/>
        </patternFill>
      </fill>
    </dxf>
    <dxf>
      <fill>
        <patternFill patternType="none">
          <bgColor auto="1"/>
        </patternFill>
      </fill>
    </dxf>
    <dxf>
      <font>
        <color rgb="FF9C0006"/>
      </font>
      <fill>
        <patternFill>
          <bgColor rgb="FFFFC7CE"/>
        </patternFill>
      </fill>
    </dxf>
    <dxf>
      <fill>
        <patternFill patternType="none">
          <bgColor auto="1"/>
        </patternFill>
      </fill>
    </dxf>
    <dxf>
      <font>
        <color rgb="FF9C0006"/>
      </font>
      <fill>
        <patternFill>
          <bgColor rgb="FFFFC7CE"/>
        </patternFill>
      </fill>
    </dxf>
    <dxf>
      <fill>
        <patternFill patternType="none">
          <bgColor auto="1"/>
        </patternFill>
      </fill>
    </dxf>
    <dxf>
      <fill>
        <patternFill patternType="none">
          <bgColor auto="1"/>
        </patternFill>
      </fill>
    </dxf>
    <dxf>
      <font>
        <color rgb="FF9C0006"/>
      </font>
      <fill>
        <patternFill>
          <bgColor rgb="FFFFC7CE"/>
        </patternFill>
      </fill>
    </dxf>
    <dxf>
      <fill>
        <patternFill patternType="none">
          <bgColor auto="1"/>
        </patternFill>
      </fill>
    </dxf>
    <dxf>
      <font>
        <color rgb="FF9C0006"/>
      </font>
      <fill>
        <patternFill>
          <bgColor rgb="FFFFC7CE"/>
        </patternFill>
      </fill>
    </dxf>
    <dxf>
      <fill>
        <patternFill patternType="none">
          <bgColor auto="1"/>
        </patternFill>
      </fill>
    </dxf>
    <dxf>
      <font>
        <color rgb="FF9C0006"/>
      </font>
      <fill>
        <patternFill>
          <bgColor rgb="FFFFC7CE"/>
        </patternFill>
      </fill>
    </dxf>
    <dxf>
      <fill>
        <patternFill patternType="none">
          <bgColor auto="1"/>
        </patternFill>
      </fill>
    </dxf>
    <dxf>
      <font>
        <color rgb="FF9C0006"/>
      </font>
      <fill>
        <patternFill>
          <bgColor rgb="FFFFC7CE"/>
        </patternFill>
      </fill>
    </dxf>
    <dxf>
      <fill>
        <patternFill patternType="none">
          <bgColor auto="1"/>
        </patternFill>
      </fill>
    </dxf>
    <dxf>
      <font>
        <color rgb="FF9C0006"/>
      </font>
      <fill>
        <patternFill>
          <bgColor rgb="FFFFC7CE"/>
        </patternFill>
      </fill>
    </dxf>
  </dxfs>
  <tableStyles count="0" defaultTableStyle="TableStyleMedium2" defaultPivotStyle="PivotStyleLight16"/>
  <colors>
    <mruColors>
      <color rgb="FF0000FF"/>
      <color rgb="FFCC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10" Type="http://schemas.openxmlformats.org/officeDocument/2006/relationships/customXml" Target="../customXml/item4.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13</xdr:col>
      <xdr:colOff>1123950</xdr:colOff>
      <xdr:row>2</xdr:row>
      <xdr:rowOff>142875</xdr:rowOff>
    </xdr:from>
    <xdr:to>
      <xdr:col>15</xdr:col>
      <xdr:colOff>1580518</xdr:colOff>
      <xdr:row>6</xdr:row>
      <xdr:rowOff>22013</xdr:rowOff>
    </xdr:to>
    <xdr:pic>
      <xdr:nvPicPr>
        <xdr:cNvPr id="2" name="Afbeelding 1">
          <a:extLst>
            <a:ext uri="{FF2B5EF4-FFF2-40B4-BE49-F238E27FC236}">
              <a16:creationId xmlns:a16="http://schemas.microsoft.com/office/drawing/2014/main" id="{98658AD4-E2BB-435D-BA6B-26ECEA1DEDE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7963019" y="526256"/>
          <a:ext cx="3238500" cy="733425"/>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0"/>
    <pageSetUpPr fitToPage="1"/>
  </sheetPr>
  <dimension ref="B2:S520"/>
  <sheetViews>
    <sheetView showGridLines="0" tabSelected="1" zoomScaleNormal="100" zoomScalePageLayoutView="60" workbookViewId="0">
      <pane ySplit="11" topLeftCell="A12" activePane="bottomLeft" state="frozen"/>
      <selection pane="bottomLeft" activeCell="K21" sqref="K21"/>
    </sheetView>
  </sheetViews>
  <sheetFormatPr defaultColWidth="20.54296875" defaultRowHeight="16.5" customHeight="1" x14ac:dyDescent="0.35"/>
  <cols>
    <col min="1" max="1" width="2.54296875" style="100" customWidth="1"/>
    <col min="2" max="2" width="4.453125" style="115" customWidth="1"/>
    <col min="3" max="3" width="11.54296875" style="100" customWidth="1"/>
    <col min="4" max="4" width="20.453125" style="85" customWidth="1"/>
    <col min="5" max="5" width="11.54296875" style="100" customWidth="1"/>
    <col min="6" max="6" width="16.54296875" style="100" customWidth="1"/>
    <col min="7" max="7" width="82.54296875" style="85" customWidth="1"/>
    <col min="8" max="8" width="16.54296875" style="101" customWidth="1"/>
    <col min="9" max="9" width="17.453125" style="102" customWidth="1"/>
    <col min="10" max="10" width="12.453125" style="85" customWidth="1"/>
    <col min="11" max="11" width="106.54296875" style="85" customWidth="1"/>
    <col min="12" max="12" width="112.54296875" style="104" customWidth="1"/>
    <col min="13" max="15" width="20.54296875" style="85" customWidth="1"/>
    <col min="16" max="16" width="80" style="105" customWidth="1"/>
    <col min="17" max="18" width="2.54296875" style="100" customWidth="1"/>
    <col min="19" max="19" width="25.453125" style="100" customWidth="1"/>
    <col min="20" max="16384" width="20.54296875" style="100"/>
  </cols>
  <sheetData>
    <row r="2" spans="3:19" ht="16.5" customHeight="1" x14ac:dyDescent="0.35">
      <c r="J2" s="103" t="s">
        <v>0</v>
      </c>
    </row>
    <row r="3" spans="3:19" ht="16.5" customHeight="1" x14ac:dyDescent="0.35">
      <c r="C3" s="106" t="s">
        <v>1</v>
      </c>
      <c r="E3" s="107" t="s">
        <v>2</v>
      </c>
      <c r="G3" s="108"/>
      <c r="J3" s="109" t="s">
        <v>3</v>
      </c>
      <c r="K3" s="109" t="s">
        <v>4</v>
      </c>
      <c r="L3" s="110"/>
      <c r="M3" s="102"/>
      <c r="N3" s="102"/>
      <c r="O3" s="102"/>
    </row>
    <row r="4" spans="3:19" ht="16.5" customHeight="1" x14ac:dyDescent="0.35">
      <c r="C4" s="106"/>
      <c r="E4" s="107" t="s">
        <v>5</v>
      </c>
      <c r="G4" s="108"/>
      <c r="J4" s="109" t="s">
        <v>6</v>
      </c>
      <c r="K4" s="109" t="s">
        <v>7</v>
      </c>
      <c r="L4" s="85"/>
      <c r="M4" s="102"/>
      <c r="N4" s="102"/>
      <c r="O4" s="102"/>
    </row>
    <row r="5" spans="3:19" ht="16.5" customHeight="1" x14ac:dyDescent="0.35">
      <c r="C5" s="100" t="s">
        <v>8</v>
      </c>
      <c r="E5" s="108" t="s">
        <v>9</v>
      </c>
      <c r="G5" s="108"/>
      <c r="J5" s="109" t="s">
        <v>10</v>
      </c>
      <c r="K5" s="109" t="s">
        <v>11</v>
      </c>
      <c r="L5" s="85"/>
      <c r="M5" s="102"/>
      <c r="N5" s="102"/>
      <c r="O5" s="102"/>
    </row>
    <row r="6" spans="3:19" ht="16.5" customHeight="1" x14ac:dyDescent="0.35">
      <c r="C6" s="100" t="s">
        <v>12</v>
      </c>
      <c r="E6" s="111" t="s">
        <v>13</v>
      </c>
      <c r="G6" s="111"/>
      <c r="J6" s="109" t="s">
        <v>14</v>
      </c>
      <c r="K6" s="109" t="s">
        <v>15</v>
      </c>
      <c r="L6" s="154"/>
    </row>
    <row r="7" spans="3:19" ht="16.5" customHeight="1" x14ac:dyDescent="0.35">
      <c r="C7" s="100" t="s">
        <v>16</v>
      </c>
      <c r="E7" s="111" t="s">
        <v>17</v>
      </c>
      <c r="G7" s="111"/>
      <c r="L7" s="154"/>
    </row>
    <row r="8" spans="3:19" ht="16.5" customHeight="1" x14ac:dyDescent="0.35">
      <c r="C8" s="100" t="s">
        <v>18</v>
      </c>
      <c r="E8" s="156">
        <v>45744</v>
      </c>
      <c r="F8" s="157"/>
      <c r="G8" s="112"/>
      <c r="J8" s="102" t="s">
        <v>758</v>
      </c>
      <c r="K8" s="113" t="s">
        <v>759</v>
      </c>
      <c r="L8" s="154"/>
    </row>
    <row r="9" spans="3:19" ht="16.5" customHeight="1" x14ac:dyDescent="0.35">
      <c r="C9" s="100" t="s">
        <v>19</v>
      </c>
      <c r="E9" s="114" t="s">
        <v>304</v>
      </c>
      <c r="F9" s="115"/>
      <c r="G9" s="111"/>
      <c r="J9" s="102"/>
      <c r="K9" s="102"/>
      <c r="L9" s="154"/>
    </row>
    <row r="10" spans="3:19" ht="16.5" customHeight="1" x14ac:dyDescent="0.35">
      <c r="G10" s="116"/>
      <c r="H10" s="155"/>
      <c r="I10" s="155"/>
      <c r="J10" s="101"/>
      <c r="K10" s="101"/>
      <c r="L10" s="102"/>
    </row>
    <row r="11" spans="3:19" ht="49.5" customHeight="1" x14ac:dyDescent="0.35">
      <c r="C11" s="1" t="s">
        <v>21</v>
      </c>
      <c r="D11" s="2" t="s">
        <v>22</v>
      </c>
      <c r="E11" s="2" t="s">
        <v>23</v>
      </c>
      <c r="F11" s="2" t="s">
        <v>24</v>
      </c>
      <c r="G11" s="2" t="s">
        <v>25</v>
      </c>
      <c r="H11" s="3" t="s">
        <v>26</v>
      </c>
      <c r="I11" s="20" t="s">
        <v>27</v>
      </c>
      <c r="J11" s="2" t="s">
        <v>0</v>
      </c>
      <c r="K11" s="2" t="s">
        <v>28</v>
      </c>
      <c r="L11" s="2" t="s">
        <v>29</v>
      </c>
      <c r="M11" s="2" t="s">
        <v>30</v>
      </c>
      <c r="N11" s="2" t="s">
        <v>31</v>
      </c>
      <c r="O11" s="2" t="s">
        <v>32</v>
      </c>
      <c r="P11" s="2" t="s">
        <v>33</v>
      </c>
    </row>
    <row r="12" spans="3:19" ht="16.5" customHeight="1" x14ac:dyDescent="0.35">
      <c r="D12" s="93"/>
      <c r="E12" s="33"/>
      <c r="F12" s="33"/>
      <c r="G12" s="34"/>
      <c r="H12" s="35"/>
      <c r="I12" s="36"/>
      <c r="J12" s="37"/>
      <c r="K12" s="37"/>
      <c r="L12" s="38"/>
      <c r="M12" s="39"/>
      <c r="N12" s="39"/>
      <c r="O12" s="39"/>
      <c r="P12" s="40"/>
    </row>
    <row r="13" spans="3:19" ht="16.5" customHeight="1" x14ac:dyDescent="0.35">
      <c r="C13" s="86"/>
      <c r="D13" s="94"/>
      <c r="E13" s="41"/>
      <c r="F13" s="41"/>
      <c r="G13" s="42"/>
      <c r="H13" s="43"/>
      <c r="I13" s="44"/>
      <c r="J13" s="45"/>
      <c r="K13" s="45"/>
      <c r="L13" s="46"/>
      <c r="M13" s="47"/>
      <c r="N13" s="47"/>
      <c r="O13" s="47"/>
      <c r="P13" s="48"/>
      <c r="S13" s="85"/>
    </row>
    <row r="14" spans="3:19" ht="16.5" customHeight="1" x14ac:dyDescent="0.35">
      <c r="C14" s="87">
        <v>1</v>
      </c>
      <c r="D14" s="95" t="s">
        <v>34</v>
      </c>
      <c r="E14" s="4" t="s">
        <v>35</v>
      </c>
      <c r="F14" s="4" t="s">
        <v>36</v>
      </c>
      <c r="G14" s="31" t="s">
        <v>37</v>
      </c>
      <c r="H14" s="71" t="s">
        <v>43</v>
      </c>
      <c r="I14" s="72" t="s">
        <v>53</v>
      </c>
      <c r="J14" s="5" t="s">
        <v>14</v>
      </c>
      <c r="K14" s="68" t="str">
        <f>E14&amp;" "&amp;F14&amp;" "&amp;G14</f>
        <v>SMH380 DP 2-4 Vraagspecificatie Deel 1 Extension existing Substation</v>
      </c>
      <c r="L14" s="68" t="str">
        <f>E14&amp;" "&amp;F14&amp;" "&amp;G14&amp;" ("&amp;H14&amp;") "&amp;I14</f>
        <v>SMH380 DP 2-4 Vraagspecificatie Deel 1 Extension existing Substation (1.0) 2024-02-01</v>
      </c>
      <c r="M14" s="9">
        <v>1287487</v>
      </c>
      <c r="N14" s="9" t="s">
        <v>39</v>
      </c>
      <c r="O14" s="9" t="s">
        <v>40</v>
      </c>
      <c r="P14" s="10"/>
      <c r="S14" s="6"/>
    </row>
    <row r="15" spans="3:19" ht="16.5" customHeight="1" x14ac:dyDescent="0.35">
      <c r="C15" s="49" t="s">
        <v>34</v>
      </c>
      <c r="D15" s="95" t="s">
        <v>34</v>
      </c>
      <c r="E15" s="4" t="s">
        <v>35</v>
      </c>
      <c r="F15" s="4" t="s">
        <v>36</v>
      </c>
      <c r="G15" s="31" t="s">
        <v>709</v>
      </c>
      <c r="H15" s="71" t="s">
        <v>710</v>
      </c>
      <c r="I15" s="72" t="s">
        <v>711</v>
      </c>
      <c r="J15" s="5" t="s">
        <v>14</v>
      </c>
      <c r="K15" s="31" t="s">
        <v>709</v>
      </c>
      <c r="L15" s="68" t="str">
        <f>G15&amp;" ("&amp;H15&amp;") "&amp;I15</f>
        <v>Nota van Inlichtingen 003.215 Simonshaven 380kV - Engineeringswijzigingen SRA DP2&amp;4 (2024.1) 2024-07-22</v>
      </c>
      <c r="M15" s="9">
        <v>1416208</v>
      </c>
      <c r="N15" s="9" t="s">
        <v>59</v>
      </c>
      <c r="O15" s="9" t="s">
        <v>40</v>
      </c>
      <c r="P15" s="10"/>
      <c r="S15" s="6"/>
    </row>
    <row r="16" spans="3:19" ht="16.5" customHeight="1" x14ac:dyDescent="0.35">
      <c r="C16" s="87"/>
      <c r="D16" s="96"/>
      <c r="E16" s="4"/>
      <c r="F16" s="4"/>
      <c r="G16" s="31"/>
      <c r="H16" s="11"/>
      <c r="I16" s="21"/>
      <c r="J16" s="5"/>
      <c r="K16" s="68"/>
      <c r="L16" s="68"/>
      <c r="M16" s="9"/>
      <c r="N16" s="9"/>
      <c r="O16" s="9"/>
      <c r="P16" s="10"/>
      <c r="S16" s="6"/>
    </row>
    <row r="17" spans="3:19" ht="16.5" customHeight="1" x14ac:dyDescent="0.35">
      <c r="C17" s="87">
        <v>2</v>
      </c>
      <c r="D17" s="96" t="s">
        <v>41</v>
      </c>
      <c r="E17" s="4" t="s">
        <v>35</v>
      </c>
      <c r="F17" s="4" t="s">
        <v>36</v>
      </c>
      <c r="G17" s="31" t="s">
        <v>42</v>
      </c>
      <c r="H17" s="11" t="s">
        <v>20</v>
      </c>
      <c r="I17" s="21" t="s">
        <v>680</v>
      </c>
      <c r="J17" s="5" t="s">
        <v>14</v>
      </c>
      <c r="K17" s="68" t="str">
        <f t="shared" ref="K17:K20" si="0">D17&amp;" "&amp;E17&amp;" "&amp;F17&amp;" "&amp;G17</f>
        <v>A01 SMH380 DP 2-4 Stakeholder Analysis</v>
      </c>
      <c r="L17" s="68" t="str">
        <f t="shared" ref="L17:L20" si="1">D17&amp;" "&amp;E17&amp;" "&amp;F17&amp;" "&amp;G17&amp;" ("&amp;H17&amp;") "&amp;I17</f>
        <v>A01 SMH380 DP 2-4 Stakeholder Analysis (1.1) 2024-02-12</v>
      </c>
      <c r="M17" s="9">
        <v>1287487</v>
      </c>
      <c r="N17" s="9" t="s">
        <v>45</v>
      </c>
      <c r="O17" s="9" t="s">
        <v>40</v>
      </c>
      <c r="P17" s="10"/>
      <c r="S17" s="6"/>
    </row>
    <row r="18" spans="3:19" ht="16.5" customHeight="1" x14ac:dyDescent="0.35">
      <c r="C18" s="87">
        <v>2</v>
      </c>
      <c r="D18" s="96" t="s">
        <v>46</v>
      </c>
      <c r="E18" s="4" t="s">
        <v>35</v>
      </c>
      <c r="F18" s="4" t="s">
        <v>36</v>
      </c>
      <c r="G18" s="31" t="s">
        <v>47</v>
      </c>
      <c r="H18" s="11" t="s">
        <v>284</v>
      </c>
      <c r="I18" s="21" t="s">
        <v>680</v>
      </c>
      <c r="J18" s="5" t="s">
        <v>14</v>
      </c>
      <c r="K18" s="68" t="str">
        <f t="shared" si="0"/>
        <v>A02 SMH380 DP 2-4 Context Diagram</v>
      </c>
      <c r="L18" s="68" t="str">
        <f t="shared" si="1"/>
        <v>A02 SMH380 DP 2-4 Context Diagram (1.3) 2024-02-12</v>
      </c>
      <c r="M18" s="9">
        <v>1287488</v>
      </c>
      <c r="N18" s="9" t="s">
        <v>45</v>
      </c>
      <c r="O18" s="9" t="s">
        <v>40</v>
      </c>
      <c r="P18" s="10"/>
      <c r="S18" s="6"/>
    </row>
    <row r="19" spans="3:19" ht="16.5" customHeight="1" x14ac:dyDescent="0.35">
      <c r="C19" s="87">
        <v>2</v>
      </c>
      <c r="D19" s="96" t="s">
        <v>49</v>
      </c>
      <c r="E19" s="4"/>
      <c r="F19" s="4"/>
      <c r="G19" s="7"/>
      <c r="H19" s="8"/>
      <c r="I19" s="21"/>
      <c r="J19" s="5"/>
      <c r="K19" s="68"/>
      <c r="L19" s="68"/>
      <c r="M19" s="9"/>
      <c r="N19" s="9"/>
      <c r="O19" s="9"/>
      <c r="P19" s="29" t="s">
        <v>50</v>
      </c>
      <c r="S19" s="6"/>
    </row>
    <row r="20" spans="3:19" ht="16.5" customHeight="1" x14ac:dyDescent="0.35">
      <c r="C20" s="50">
        <v>2</v>
      </c>
      <c r="D20" s="96" t="s">
        <v>51</v>
      </c>
      <c r="E20" s="4" t="s">
        <v>35</v>
      </c>
      <c r="F20" s="4" t="s">
        <v>36</v>
      </c>
      <c r="G20" s="7" t="s">
        <v>52</v>
      </c>
      <c r="H20" s="57" t="s">
        <v>114</v>
      </c>
      <c r="I20" s="72" t="s">
        <v>702</v>
      </c>
      <c r="J20" s="5" t="s">
        <v>14</v>
      </c>
      <c r="K20" s="68" t="str">
        <f t="shared" si="0"/>
        <v>A04 SMH380 DP 2-4 TenneT Specific Standards</v>
      </c>
      <c r="L20" s="68" t="str">
        <f t="shared" si="1"/>
        <v>A04 SMH380 DP 2-4 TenneT Specific Standards (2.0) 2024-07-02</v>
      </c>
      <c r="M20" s="9">
        <v>1287490</v>
      </c>
      <c r="N20" s="9" t="s">
        <v>54</v>
      </c>
      <c r="O20" s="9" t="s">
        <v>40</v>
      </c>
      <c r="P20" s="10"/>
      <c r="S20" s="6"/>
    </row>
    <row r="21" spans="3:19" ht="16.5" customHeight="1" x14ac:dyDescent="0.35">
      <c r="C21" s="50">
        <v>2</v>
      </c>
      <c r="D21" s="96" t="s">
        <v>55</v>
      </c>
      <c r="E21" s="4" t="s">
        <v>35</v>
      </c>
      <c r="F21" s="4" t="s">
        <v>36</v>
      </c>
      <c r="G21" s="7" t="s">
        <v>56</v>
      </c>
      <c r="H21" s="128" t="s">
        <v>114</v>
      </c>
      <c r="I21" s="129" t="s">
        <v>784</v>
      </c>
      <c r="J21" s="88" t="s">
        <v>14</v>
      </c>
      <c r="K21" s="68" t="str">
        <f>D21&amp;" "&amp;E21&amp;" "&amp;F21&amp;" "&amp;G21</f>
        <v>A05 SMH380 DP 2-4 Voorlopige IDO Lijst</v>
      </c>
      <c r="L21" s="70" t="str">
        <f>D21&amp;" "&amp;E21&amp;" "&amp;F21&amp;" "&amp;G21&amp;" ("&amp;H21&amp;") "&amp;I21</f>
        <v>A05 SMH380 DP 2-4 Voorlopige IDO Lijst (2.0) 2025-03-28</v>
      </c>
      <c r="M21" s="9">
        <v>1287491</v>
      </c>
      <c r="N21" s="9" t="s">
        <v>59</v>
      </c>
      <c r="O21" s="9" t="s">
        <v>40</v>
      </c>
      <c r="P21" s="29"/>
      <c r="S21" s="6"/>
    </row>
    <row r="22" spans="3:19" ht="16.5" customHeight="1" x14ac:dyDescent="0.35">
      <c r="C22" s="50">
        <v>2</v>
      </c>
      <c r="D22" s="96" t="s">
        <v>60</v>
      </c>
      <c r="E22" s="4" t="s">
        <v>35</v>
      </c>
      <c r="F22" s="4" t="s">
        <v>36</v>
      </c>
      <c r="G22" s="7" t="s">
        <v>61</v>
      </c>
      <c r="H22" s="30" t="s">
        <v>57</v>
      </c>
      <c r="I22" s="21" t="s">
        <v>58</v>
      </c>
      <c r="J22" s="5" t="s">
        <v>14</v>
      </c>
      <c r="K22" s="68" t="str">
        <f>D22&amp;" "&amp;E22&amp;" "&amp;F22&amp;" "&amp;G22</f>
        <v>A06 SMH380 DP 2-4 Voorlopige IDO Lijst Omliggende Stations</v>
      </c>
      <c r="L22" s="68" t="str">
        <f>D22&amp;" "&amp;E22&amp;" "&amp;F22&amp;" "&amp;G22&amp;" ("&amp;H22&amp;") "&amp;I22</f>
        <v>A06 SMH380 DP 2-4 Voorlopige IDO Lijst Omliggende Stations (-.-) 2022-10-14</v>
      </c>
      <c r="M22" s="9">
        <v>1287492</v>
      </c>
      <c r="N22" s="9" t="s">
        <v>59</v>
      </c>
      <c r="O22" s="9" t="s">
        <v>40</v>
      </c>
      <c r="P22" s="29"/>
      <c r="S22" s="6"/>
    </row>
    <row r="23" spans="3:19" ht="16.5" customHeight="1" x14ac:dyDescent="0.35">
      <c r="C23" s="50">
        <v>2</v>
      </c>
      <c r="D23" s="96" t="s">
        <v>62</v>
      </c>
      <c r="E23" s="4"/>
      <c r="F23" s="4"/>
      <c r="G23" s="7"/>
      <c r="H23" s="25"/>
      <c r="I23" s="21"/>
      <c r="J23" s="5"/>
      <c r="K23" s="68"/>
      <c r="L23" s="68"/>
      <c r="M23" s="9"/>
      <c r="N23" s="9"/>
      <c r="O23" s="9"/>
      <c r="P23" s="29" t="s">
        <v>50</v>
      </c>
      <c r="S23" s="6"/>
    </row>
    <row r="24" spans="3:19" ht="16.5" customHeight="1" x14ac:dyDescent="0.35">
      <c r="C24" s="50">
        <v>2</v>
      </c>
      <c r="D24" s="96" t="s">
        <v>63</v>
      </c>
      <c r="E24" s="4" t="s">
        <v>35</v>
      </c>
      <c r="F24" s="4" t="s">
        <v>36</v>
      </c>
      <c r="G24" s="31" t="s">
        <v>64</v>
      </c>
      <c r="H24" s="25" t="s">
        <v>679</v>
      </c>
      <c r="I24" s="21" t="s">
        <v>680</v>
      </c>
      <c r="J24" s="5" t="s">
        <v>14</v>
      </c>
      <c r="K24" s="68" t="str">
        <f t="shared" ref="K24:K61" si="2">D24&amp;" "&amp;E24&amp;" "&amp;F24&amp;" "&amp;G24</f>
        <v>A08 SMH380 DP 2-4 V en G Plan Ontwerpfase</v>
      </c>
      <c r="L24" s="68" t="str">
        <f t="shared" ref="L24:L25" si="3">D24&amp;" "&amp;E24&amp;" "&amp;F24&amp;" "&amp;G24&amp;" ("&amp;H24&amp;") "&amp;I24</f>
        <v>A08 SMH380 DP 2-4 V en G Plan Ontwerpfase (3.1) 2024-02-12</v>
      </c>
      <c r="M24" s="9">
        <v>1287493</v>
      </c>
      <c r="N24" s="9" t="s">
        <v>67</v>
      </c>
      <c r="O24" s="9" t="s">
        <v>40</v>
      </c>
      <c r="P24" s="10"/>
      <c r="S24" s="6"/>
    </row>
    <row r="25" spans="3:19" ht="16.5" customHeight="1" x14ac:dyDescent="0.35">
      <c r="C25" s="50">
        <v>2</v>
      </c>
      <c r="D25" s="96" t="s">
        <v>68</v>
      </c>
      <c r="E25" s="4" t="s">
        <v>35</v>
      </c>
      <c r="F25" s="4" t="s">
        <v>36</v>
      </c>
      <c r="G25" s="31" t="s">
        <v>69</v>
      </c>
      <c r="H25" s="26" t="s">
        <v>43</v>
      </c>
      <c r="I25" s="21" t="s">
        <v>70</v>
      </c>
      <c r="J25" s="5" t="s">
        <v>14</v>
      </c>
      <c r="K25" s="68" t="str">
        <f t="shared" si="2"/>
        <v>A09 SMH380 DP 2-4 Naamgeving</v>
      </c>
      <c r="L25" s="68" t="str">
        <f t="shared" si="3"/>
        <v>A09 SMH380 DP 2-4 Naamgeving (1.0) 2023-11-03</v>
      </c>
      <c r="M25" s="9">
        <v>1287494</v>
      </c>
      <c r="N25" s="9" t="s">
        <v>71</v>
      </c>
      <c r="O25" s="9" t="s">
        <v>40</v>
      </c>
      <c r="P25" s="10"/>
      <c r="S25" s="6"/>
    </row>
    <row r="26" spans="3:19" ht="16.5" customHeight="1" x14ac:dyDescent="0.35">
      <c r="C26" s="50"/>
      <c r="D26" s="96"/>
      <c r="E26" s="4"/>
      <c r="F26" s="4"/>
      <c r="G26" s="31"/>
      <c r="H26" s="26"/>
      <c r="I26" s="21"/>
      <c r="J26" s="5"/>
      <c r="K26" s="68"/>
      <c r="L26" s="68"/>
      <c r="M26" s="9"/>
      <c r="N26" s="9"/>
      <c r="O26" s="9"/>
      <c r="P26" s="10"/>
      <c r="S26" s="6"/>
    </row>
    <row r="27" spans="3:19" ht="16.5" customHeight="1" x14ac:dyDescent="0.35">
      <c r="C27" s="50">
        <v>2</v>
      </c>
      <c r="D27" s="96" t="s">
        <v>72</v>
      </c>
      <c r="E27" s="4" t="s">
        <v>35</v>
      </c>
      <c r="F27" s="4" t="s">
        <v>36</v>
      </c>
      <c r="G27" s="7" t="s">
        <v>73</v>
      </c>
      <c r="H27" s="26" t="s">
        <v>57</v>
      </c>
      <c r="I27" s="21" t="s">
        <v>74</v>
      </c>
      <c r="J27" s="5" t="s">
        <v>14</v>
      </c>
      <c r="K27" s="68" t="str">
        <f t="shared" si="2"/>
        <v>A10 SMH380 DP 2-4 Advies DCMR 1464986</v>
      </c>
      <c r="L27" s="68" t="str">
        <f t="shared" ref="L27:L58" si="4">D27&amp;" "&amp;E27&amp;" "&amp;F27&amp;" "&amp;G27&amp;" ("&amp;H27&amp;") "&amp;I27</f>
        <v>A10 SMH380 DP 2-4 Advies DCMR 1464986 (-.-) 2022-07-08</v>
      </c>
      <c r="M27" s="25">
        <v>1248669</v>
      </c>
      <c r="N27" s="9" t="s">
        <v>59</v>
      </c>
      <c r="O27" s="9" t="s">
        <v>75</v>
      </c>
      <c r="P27" s="10"/>
      <c r="S27" s="6"/>
    </row>
    <row r="28" spans="3:19" ht="16.5" customHeight="1" x14ac:dyDescent="0.35">
      <c r="C28" s="50">
        <v>2</v>
      </c>
      <c r="D28" s="96" t="s">
        <v>76</v>
      </c>
      <c r="E28" s="4" t="s">
        <v>35</v>
      </c>
      <c r="F28" s="4" t="s">
        <v>36</v>
      </c>
      <c r="G28" s="7" t="s">
        <v>77</v>
      </c>
      <c r="H28" s="26" t="s">
        <v>57</v>
      </c>
      <c r="I28" s="21" t="s">
        <v>78</v>
      </c>
      <c r="J28" s="5" t="s">
        <v>14</v>
      </c>
      <c r="K28" s="68" t="str">
        <f t="shared" si="2"/>
        <v>A11 SMH380 DP 2-4 Gemeente Rotterdam toestemming Archeologie</v>
      </c>
      <c r="L28" s="68" t="str">
        <f t="shared" si="4"/>
        <v>A11 SMH380 DP 2-4 Gemeente Rotterdam toestemming Archeologie (-.-) 2022-08-31</v>
      </c>
      <c r="M28" s="25">
        <v>1248670</v>
      </c>
      <c r="N28" s="9" t="s">
        <v>59</v>
      </c>
      <c r="O28" s="9" t="s">
        <v>75</v>
      </c>
      <c r="P28" s="10"/>
      <c r="S28" s="6"/>
    </row>
    <row r="29" spans="3:19" ht="16.5" customHeight="1" x14ac:dyDescent="0.35">
      <c r="C29" s="50">
        <v>2</v>
      </c>
      <c r="D29" s="96" t="s">
        <v>79</v>
      </c>
      <c r="E29" s="4" t="s">
        <v>35</v>
      </c>
      <c r="F29" s="4" t="s">
        <v>36</v>
      </c>
      <c r="G29" s="7" t="s">
        <v>80</v>
      </c>
      <c r="H29" s="26" t="s">
        <v>57</v>
      </c>
      <c r="I29" s="21" t="s">
        <v>81</v>
      </c>
      <c r="J29" s="5" t="s">
        <v>14</v>
      </c>
      <c r="K29" s="68" t="str">
        <f t="shared" si="2"/>
        <v>A12 SMH380 DP 2-4 SWE Vormvrije M.E.R. Beoordeling</v>
      </c>
      <c r="L29" s="68" t="str">
        <f t="shared" si="4"/>
        <v>A12 SMH380 DP 2-4 SWE Vormvrije M.E.R. Beoordeling (-.-) 2023-10-07</v>
      </c>
      <c r="M29" s="25">
        <v>1248671</v>
      </c>
      <c r="N29" s="9" t="s">
        <v>59</v>
      </c>
      <c r="O29" s="9" t="s">
        <v>75</v>
      </c>
      <c r="P29" s="10"/>
      <c r="S29" s="6"/>
    </row>
    <row r="30" spans="3:19" ht="16.5" customHeight="1" x14ac:dyDescent="0.35">
      <c r="C30" s="50">
        <v>2</v>
      </c>
      <c r="D30" s="96" t="s">
        <v>82</v>
      </c>
      <c r="E30" s="4" t="s">
        <v>35</v>
      </c>
      <c r="F30" s="4" t="s">
        <v>36</v>
      </c>
      <c r="G30" s="7" t="s">
        <v>84</v>
      </c>
      <c r="H30" s="25" t="s">
        <v>65</v>
      </c>
      <c r="I30" s="21" t="s">
        <v>689</v>
      </c>
      <c r="J30" s="5" t="s">
        <v>14</v>
      </c>
      <c r="K30" s="68" t="str">
        <f t="shared" si="2"/>
        <v>A13 SMH380 DP 2-4 DUV Landschappelijke inpassingsplan</v>
      </c>
      <c r="L30" s="68" t="str">
        <f t="shared" si="4"/>
        <v>A13 SMH380 DP 2-4 DUV Landschappelijke inpassingsplan (3.0) 2023-11-20</v>
      </c>
      <c r="M30" s="25">
        <v>1248673</v>
      </c>
      <c r="N30" s="9" t="s">
        <v>59</v>
      </c>
      <c r="O30" s="9" t="s">
        <v>75</v>
      </c>
      <c r="P30" s="10"/>
      <c r="S30" s="6"/>
    </row>
    <row r="31" spans="3:19" ht="16.5" customHeight="1" x14ac:dyDescent="0.35">
      <c r="C31" s="50">
        <v>2</v>
      </c>
      <c r="D31" s="96" t="s">
        <v>83</v>
      </c>
      <c r="E31" s="4" t="s">
        <v>35</v>
      </c>
      <c r="F31" s="4" t="s">
        <v>36</v>
      </c>
      <c r="G31" s="7" t="s">
        <v>86</v>
      </c>
      <c r="H31" s="26" t="s">
        <v>57</v>
      </c>
      <c r="I31" s="21" t="s">
        <v>87</v>
      </c>
      <c r="J31" s="5" t="s">
        <v>14</v>
      </c>
      <c r="K31" s="68" t="str">
        <f t="shared" si="2"/>
        <v xml:space="preserve">A14 SMH380 DP 2-4 PEU Akoestisch onderzoek </v>
      </c>
      <c r="L31" s="68" t="str">
        <f t="shared" si="4"/>
        <v>A14 SMH380 DP 2-4 PEU Akoestisch onderzoek  (-.-) 2022-10-18</v>
      </c>
      <c r="M31" s="25">
        <v>1248674</v>
      </c>
      <c r="N31" s="9" t="s">
        <v>59</v>
      </c>
      <c r="O31" s="9" t="s">
        <v>75</v>
      </c>
      <c r="P31" s="10"/>
      <c r="S31" s="6"/>
    </row>
    <row r="32" spans="3:19" ht="16.5" customHeight="1" x14ac:dyDescent="0.35">
      <c r="C32" s="50">
        <v>2</v>
      </c>
      <c r="D32" s="96" t="s">
        <v>85</v>
      </c>
      <c r="E32" s="4" t="s">
        <v>35</v>
      </c>
      <c r="F32" s="4" t="s">
        <v>36</v>
      </c>
      <c r="G32" s="7" t="s">
        <v>89</v>
      </c>
      <c r="H32" s="26" t="s">
        <v>57</v>
      </c>
      <c r="I32" s="21" t="s">
        <v>90</v>
      </c>
      <c r="J32" s="5" t="s">
        <v>14</v>
      </c>
      <c r="K32" s="68" t="str">
        <f t="shared" si="2"/>
        <v>A15 SMH380 DP 2-4 Kapmelding</v>
      </c>
      <c r="L32" s="68" t="str">
        <f t="shared" si="4"/>
        <v>A15 SMH380 DP 2-4 Kapmelding (-.-) 2023-02-10</v>
      </c>
      <c r="M32" s="25">
        <v>1248675</v>
      </c>
      <c r="N32" s="9" t="s">
        <v>59</v>
      </c>
      <c r="O32" s="9" t="s">
        <v>75</v>
      </c>
      <c r="P32" s="10"/>
      <c r="S32" s="6"/>
    </row>
    <row r="33" spans="3:19" ht="16.5" customHeight="1" x14ac:dyDescent="0.35">
      <c r="C33" s="117">
        <v>2</v>
      </c>
      <c r="D33" s="96" t="s">
        <v>88</v>
      </c>
      <c r="E33" s="118" t="s">
        <v>35</v>
      </c>
      <c r="F33" s="118" t="s">
        <v>36</v>
      </c>
      <c r="G33" s="118" t="s">
        <v>92</v>
      </c>
      <c r="H33" s="25" t="s">
        <v>93</v>
      </c>
      <c r="I33" s="119" t="s">
        <v>762</v>
      </c>
      <c r="J33" s="5" t="s">
        <v>14</v>
      </c>
      <c r="K33" s="68" t="str">
        <f t="shared" si="2"/>
        <v>A16 SMH380 DP 2-4 Notitie AERIUS-Berekening Simonshaven</v>
      </c>
      <c r="L33" s="68" t="str">
        <f t="shared" si="4"/>
        <v>A16 SMH380 DP 2-4 Notitie AERIUS-Berekening Simonshaven (D4) 2023-11-29</v>
      </c>
      <c r="M33" s="25">
        <v>1040095</v>
      </c>
      <c r="N33" s="25" t="s">
        <v>59</v>
      </c>
      <c r="O33" s="25" t="s">
        <v>75</v>
      </c>
      <c r="P33" s="10"/>
      <c r="S33" s="6"/>
    </row>
    <row r="34" spans="3:19" ht="16.5" customHeight="1" x14ac:dyDescent="0.35">
      <c r="C34" s="117">
        <v>2</v>
      </c>
      <c r="D34" s="96" t="s">
        <v>91</v>
      </c>
      <c r="E34" s="118" t="s">
        <v>35</v>
      </c>
      <c r="F34" s="118" t="s">
        <v>36</v>
      </c>
      <c r="G34" s="117" t="s">
        <v>95</v>
      </c>
      <c r="H34" s="25" t="s">
        <v>96</v>
      </c>
      <c r="I34" s="119" t="s">
        <v>763</v>
      </c>
      <c r="J34" s="5" t="s">
        <v>14</v>
      </c>
      <c r="K34" s="68" t="str">
        <f t="shared" si="2"/>
        <v>A17 SMH380 DP 2-4 Bemalingsadvies</v>
      </c>
      <c r="L34" s="68" t="str">
        <f t="shared" si="4"/>
        <v>A17 SMH380 DP 2-4 Bemalingsadvies (D0) 2023-08-30</v>
      </c>
      <c r="M34" s="25">
        <v>1040090</v>
      </c>
      <c r="N34" s="25" t="s">
        <v>59</v>
      </c>
      <c r="O34" s="25" t="s">
        <v>75</v>
      </c>
      <c r="P34" s="10"/>
      <c r="S34" s="6"/>
    </row>
    <row r="35" spans="3:19" ht="16.5" customHeight="1" x14ac:dyDescent="0.35">
      <c r="C35" s="117">
        <v>2</v>
      </c>
      <c r="D35" s="96" t="s">
        <v>94</v>
      </c>
      <c r="E35" s="118" t="s">
        <v>35</v>
      </c>
      <c r="F35" s="118" t="s">
        <v>36</v>
      </c>
      <c r="G35" s="117" t="s">
        <v>98</v>
      </c>
      <c r="H35" s="25" t="s">
        <v>99</v>
      </c>
      <c r="I35" s="119" t="s">
        <v>764</v>
      </c>
      <c r="J35" s="5" t="s">
        <v>14</v>
      </c>
      <c r="K35" s="68" t="str">
        <f t="shared" si="2"/>
        <v>A18 SMH380 DP 2-4 Bomeninventarisatie</v>
      </c>
      <c r="L35" s="68" t="str">
        <f t="shared" si="4"/>
        <v>A18 SMH380 DP 2-4 Bomeninventarisatie (D1) 2022-08-30</v>
      </c>
      <c r="M35" s="25">
        <v>1040087</v>
      </c>
      <c r="N35" s="25" t="s">
        <v>59</v>
      </c>
      <c r="O35" s="25" t="s">
        <v>75</v>
      </c>
      <c r="P35" s="10"/>
      <c r="S35" s="6"/>
    </row>
    <row r="36" spans="3:19" ht="16.5" customHeight="1" x14ac:dyDescent="0.35">
      <c r="C36" s="117">
        <v>2</v>
      </c>
      <c r="D36" s="96" t="s">
        <v>97</v>
      </c>
      <c r="E36" s="118" t="s">
        <v>35</v>
      </c>
      <c r="F36" s="118" t="s">
        <v>36</v>
      </c>
      <c r="G36" s="117" t="s">
        <v>101</v>
      </c>
      <c r="H36" s="25" t="s">
        <v>102</v>
      </c>
      <c r="I36" s="119" t="s">
        <v>765</v>
      </c>
      <c r="J36" s="5" t="s">
        <v>14</v>
      </c>
      <c r="K36" s="68" t="str">
        <f t="shared" si="2"/>
        <v>A19 SMH380 DP 2-4 Bureauonderzoek Archeologie</v>
      </c>
      <c r="L36" s="68" t="str">
        <f t="shared" si="4"/>
        <v>A19 SMH380 DP 2-4 Bureauonderzoek Archeologie (D2) 2022-10-25</v>
      </c>
      <c r="M36" s="25">
        <v>1039756</v>
      </c>
      <c r="N36" s="25" t="s">
        <v>59</v>
      </c>
      <c r="O36" s="25" t="s">
        <v>75</v>
      </c>
      <c r="P36" s="10"/>
      <c r="S36" s="6"/>
    </row>
    <row r="37" spans="3:19" ht="16.5" customHeight="1" x14ac:dyDescent="0.35">
      <c r="C37" s="117">
        <v>2</v>
      </c>
      <c r="D37" s="96" t="s">
        <v>100</v>
      </c>
      <c r="E37" s="118" t="s">
        <v>35</v>
      </c>
      <c r="F37" s="118" t="s">
        <v>36</v>
      </c>
      <c r="G37" s="117" t="s">
        <v>104</v>
      </c>
      <c r="H37" s="25" t="s">
        <v>102</v>
      </c>
      <c r="I37" s="119" t="s">
        <v>766</v>
      </c>
      <c r="J37" s="5" t="s">
        <v>14</v>
      </c>
      <c r="K37" s="68" t="str">
        <f t="shared" si="2"/>
        <v>A20 SMH380 DP 2-4 Bureauonderzoek Archeologie Notitie</v>
      </c>
      <c r="L37" s="68" t="str">
        <f t="shared" si="4"/>
        <v>A20 SMH380 DP 2-4 Bureauonderzoek Archeologie Notitie (D2) 2022-12-06</v>
      </c>
      <c r="M37" s="25">
        <v>1076892</v>
      </c>
      <c r="N37" s="25" t="s">
        <v>59</v>
      </c>
      <c r="O37" s="25" t="s">
        <v>75</v>
      </c>
      <c r="P37" s="10"/>
      <c r="S37" s="6"/>
    </row>
    <row r="38" spans="3:19" ht="16.5" customHeight="1" x14ac:dyDescent="0.35">
      <c r="C38" s="117"/>
      <c r="D38" s="96"/>
      <c r="E38" s="118"/>
      <c r="F38" s="118"/>
      <c r="G38" s="117"/>
      <c r="H38" s="25"/>
      <c r="I38" s="119"/>
      <c r="J38" s="5"/>
      <c r="K38" s="68"/>
      <c r="L38" s="68"/>
      <c r="M38" s="25"/>
      <c r="N38" s="25"/>
      <c r="O38" s="25"/>
      <c r="P38" s="10"/>
      <c r="S38" s="6"/>
    </row>
    <row r="39" spans="3:19" ht="16.5" customHeight="1" x14ac:dyDescent="0.35">
      <c r="C39" s="117">
        <v>2</v>
      </c>
      <c r="D39" s="96" t="s">
        <v>103</v>
      </c>
      <c r="E39" s="118" t="s">
        <v>35</v>
      </c>
      <c r="F39" s="118" t="s">
        <v>36</v>
      </c>
      <c r="G39" s="117" t="s">
        <v>106</v>
      </c>
      <c r="H39" s="25" t="s">
        <v>102</v>
      </c>
      <c r="I39" s="119" t="s">
        <v>767</v>
      </c>
      <c r="J39" s="5" t="s">
        <v>14</v>
      </c>
      <c r="K39" s="68" t="str">
        <f t="shared" si="2"/>
        <v>A21 SMH380 DP 2-4 Bureauonderzoek Explosieven</v>
      </c>
      <c r="L39" s="68" t="str">
        <f t="shared" si="4"/>
        <v>A21 SMH380 DP 2-4 Bureauonderzoek Explosieven (D2) 2022-10-06</v>
      </c>
      <c r="M39" s="25">
        <v>1039757</v>
      </c>
      <c r="N39" s="25" t="s">
        <v>59</v>
      </c>
      <c r="O39" s="25" t="s">
        <v>75</v>
      </c>
      <c r="P39" s="10"/>
      <c r="S39" s="6"/>
    </row>
    <row r="40" spans="3:19" ht="16.5" customHeight="1" x14ac:dyDescent="0.35">
      <c r="C40" s="117">
        <v>2</v>
      </c>
      <c r="D40" s="96" t="s">
        <v>105</v>
      </c>
      <c r="E40" s="118" t="s">
        <v>35</v>
      </c>
      <c r="F40" s="118" t="s">
        <v>36</v>
      </c>
      <c r="G40" s="117" t="s">
        <v>108</v>
      </c>
      <c r="H40" s="25" t="s">
        <v>109</v>
      </c>
      <c r="I40" s="119" t="s">
        <v>768</v>
      </c>
      <c r="J40" s="5" t="s">
        <v>14</v>
      </c>
      <c r="K40" s="68" t="str">
        <f t="shared" si="2"/>
        <v>A22 SMH380 DP 2-4 Bureauonderzoek Milieu hygienisch</v>
      </c>
      <c r="L40" s="68" t="str">
        <f t="shared" si="4"/>
        <v>A22 SMH380 DP 2-4 Bureauonderzoek Milieu hygienisch (A1) 2022-10-07</v>
      </c>
      <c r="M40" s="25">
        <v>1039755</v>
      </c>
      <c r="N40" s="25" t="s">
        <v>59</v>
      </c>
      <c r="O40" s="25" t="s">
        <v>75</v>
      </c>
      <c r="P40" s="10"/>
      <c r="S40" s="6"/>
    </row>
    <row r="41" spans="3:19" ht="16.5" customHeight="1" x14ac:dyDescent="0.35">
      <c r="C41" s="117">
        <v>2</v>
      </c>
      <c r="D41" s="96" t="s">
        <v>107</v>
      </c>
      <c r="E41" s="118" t="s">
        <v>35</v>
      </c>
      <c r="F41" s="118" t="s">
        <v>36</v>
      </c>
      <c r="G41" s="117" t="s">
        <v>111</v>
      </c>
      <c r="H41" s="25" t="s">
        <v>96</v>
      </c>
      <c r="I41" s="119" t="s">
        <v>769</v>
      </c>
      <c r="J41" s="5" t="s">
        <v>14</v>
      </c>
      <c r="K41" s="68" t="str">
        <f t="shared" si="2"/>
        <v>A23 SMH380 DP 2-4 Cultuurtechnisch Onderzoek</v>
      </c>
      <c r="L41" s="68" t="str">
        <f t="shared" si="4"/>
        <v>A23 SMH380 DP 2-4 Cultuurtechnisch Onderzoek (D0) 2023-11-01</v>
      </c>
      <c r="M41" s="25">
        <v>1040099</v>
      </c>
      <c r="N41" s="25" t="s">
        <v>59</v>
      </c>
      <c r="O41" s="25" t="s">
        <v>75</v>
      </c>
      <c r="P41" s="10"/>
      <c r="S41" s="6"/>
    </row>
    <row r="42" spans="3:19" ht="16.5" customHeight="1" x14ac:dyDescent="0.35">
      <c r="C42" s="117">
        <v>2</v>
      </c>
      <c r="D42" s="96" t="s">
        <v>110</v>
      </c>
      <c r="E42" s="118" t="s">
        <v>35</v>
      </c>
      <c r="F42" s="118" t="s">
        <v>36</v>
      </c>
      <c r="G42" s="117" t="s">
        <v>113</v>
      </c>
      <c r="H42" s="26" t="s">
        <v>114</v>
      </c>
      <c r="I42" s="119" t="s">
        <v>300</v>
      </c>
      <c r="J42" s="5" t="s">
        <v>14</v>
      </c>
      <c r="K42" s="68" t="str">
        <f t="shared" si="2"/>
        <v>A24 SMH380 DP 2-4 Geo-elektrisch Meetrapport</v>
      </c>
      <c r="L42" s="68" t="str">
        <f t="shared" si="4"/>
        <v>A24 SMH380 DP 2-4 Geo-elektrisch Meetrapport (2.0) 2023-08-03</v>
      </c>
      <c r="M42" s="25">
        <v>1040098</v>
      </c>
      <c r="N42" s="25" t="s">
        <v>59</v>
      </c>
      <c r="O42" s="25" t="s">
        <v>75</v>
      </c>
      <c r="P42" s="10"/>
      <c r="S42" s="6"/>
    </row>
    <row r="43" spans="3:19" ht="16.5" customHeight="1" x14ac:dyDescent="0.35">
      <c r="C43" s="117">
        <v>2</v>
      </c>
      <c r="D43" s="96" t="s">
        <v>112</v>
      </c>
      <c r="E43" s="118" t="s">
        <v>35</v>
      </c>
      <c r="F43" s="118" t="s">
        <v>36</v>
      </c>
      <c r="G43" s="117" t="s">
        <v>116</v>
      </c>
      <c r="H43" s="26" t="s">
        <v>65</v>
      </c>
      <c r="I43" s="119" t="s">
        <v>770</v>
      </c>
      <c r="J43" s="5" t="s">
        <v>14</v>
      </c>
      <c r="K43" s="68" t="str">
        <f t="shared" si="2"/>
        <v>A25 SMH380 DP 2-4 Geo-elektrisch Meetdata</v>
      </c>
      <c r="L43" s="68" t="str">
        <f t="shared" si="4"/>
        <v>A25 SMH380 DP 2-4 Geo-elektrisch Meetdata (3.0) 2023-03-24</v>
      </c>
      <c r="M43" s="25">
        <v>1110980</v>
      </c>
      <c r="N43" s="25" t="s">
        <v>59</v>
      </c>
      <c r="O43" s="25" t="s">
        <v>75</v>
      </c>
      <c r="P43" s="10"/>
      <c r="S43" s="6"/>
    </row>
    <row r="44" spans="3:19" ht="16.5" customHeight="1" x14ac:dyDescent="0.35">
      <c r="C44" s="117">
        <v>2</v>
      </c>
      <c r="D44" s="96" t="s">
        <v>115</v>
      </c>
      <c r="E44" s="118" t="s">
        <v>35</v>
      </c>
      <c r="F44" s="118" t="s">
        <v>36</v>
      </c>
      <c r="G44" s="117" t="s">
        <v>118</v>
      </c>
      <c r="H44" s="25" t="s">
        <v>96</v>
      </c>
      <c r="I44" s="119" t="s">
        <v>771</v>
      </c>
      <c r="J44" s="5" t="s">
        <v>14</v>
      </c>
      <c r="K44" s="68" t="str">
        <f t="shared" si="2"/>
        <v>A26 SMH380 DP 2-4 Geohydrologisch Onderzoek</v>
      </c>
      <c r="L44" s="68" t="str">
        <f t="shared" si="4"/>
        <v>A26 SMH380 DP 2-4 Geohydrologisch Onderzoek (D0) 2023-09-01</v>
      </c>
      <c r="M44" s="25">
        <v>1040089</v>
      </c>
      <c r="N44" s="25" t="s">
        <v>59</v>
      </c>
      <c r="O44" s="25" t="s">
        <v>75</v>
      </c>
      <c r="P44" s="10"/>
      <c r="S44" s="6"/>
    </row>
    <row r="45" spans="3:19" ht="16.5" customHeight="1" x14ac:dyDescent="0.35">
      <c r="C45" s="117">
        <v>2</v>
      </c>
      <c r="D45" s="96" t="s">
        <v>117</v>
      </c>
      <c r="E45" s="118" t="s">
        <v>35</v>
      </c>
      <c r="F45" s="118" t="s">
        <v>36</v>
      </c>
      <c r="G45" s="117" t="s">
        <v>120</v>
      </c>
      <c r="H45" s="25" t="s">
        <v>99</v>
      </c>
      <c r="I45" s="119" t="s">
        <v>772</v>
      </c>
      <c r="J45" s="5" t="s">
        <v>14</v>
      </c>
      <c r="K45" s="68" t="str">
        <f t="shared" si="2"/>
        <v>A27 SMH380 DP 2-4 Geotechnisch Advies</v>
      </c>
      <c r="L45" s="68" t="str">
        <f t="shared" si="4"/>
        <v>A27 SMH380 DP 2-4 Geotechnisch Advies (D1) 2023-05-22</v>
      </c>
      <c r="M45" s="25">
        <v>1115172</v>
      </c>
      <c r="N45" s="25" t="s">
        <v>59</v>
      </c>
      <c r="O45" s="25" t="s">
        <v>75</v>
      </c>
      <c r="P45" s="10"/>
      <c r="S45" s="6"/>
    </row>
    <row r="46" spans="3:19" ht="16.5" customHeight="1" x14ac:dyDescent="0.35">
      <c r="C46" s="117">
        <v>2</v>
      </c>
      <c r="D46" s="96" t="s">
        <v>119</v>
      </c>
      <c r="E46" s="118" t="s">
        <v>35</v>
      </c>
      <c r="F46" s="118" t="s">
        <v>36</v>
      </c>
      <c r="G46" s="117" t="s">
        <v>122</v>
      </c>
      <c r="H46" s="25" t="s">
        <v>96</v>
      </c>
      <c r="I46" s="119" t="s">
        <v>773</v>
      </c>
      <c r="J46" s="5" t="s">
        <v>14</v>
      </c>
      <c r="K46" s="68" t="str">
        <f>D46&amp;" "&amp;E46&amp;" "&amp;F46&amp;" "&amp;G46</f>
        <v>A28 SMH380 DP 2-4 Geothermisch Onderzoek</v>
      </c>
      <c r="L46" s="68" t="str">
        <f t="shared" si="4"/>
        <v>A28 SMH380 DP 2-4 Geothermisch Onderzoek (D0) 2023-09-07</v>
      </c>
      <c r="M46" s="25">
        <v>1040092</v>
      </c>
      <c r="N46" s="25" t="s">
        <v>59</v>
      </c>
      <c r="O46" s="25" t="s">
        <v>75</v>
      </c>
      <c r="P46" s="10"/>
      <c r="S46" s="6"/>
    </row>
    <row r="47" spans="3:19" ht="16.5" customHeight="1" x14ac:dyDescent="0.35">
      <c r="C47" s="117">
        <v>2</v>
      </c>
      <c r="D47" s="96" t="s">
        <v>121</v>
      </c>
      <c r="E47" s="118" t="s">
        <v>35</v>
      </c>
      <c r="F47" s="118" t="s">
        <v>36</v>
      </c>
      <c r="G47" s="117" t="s">
        <v>124</v>
      </c>
      <c r="H47" s="25" t="s">
        <v>102</v>
      </c>
      <c r="I47" s="119" t="s">
        <v>774</v>
      </c>
      <c r="J47" s="5" t="s">
        <v>14</v>
      </c>
      <c r="K47" s="68" t="str">
        <f t="shared" si="2"/>
        <v>A29 SMH380 DP 2-4 Grondmechanische Rapport</v>
      </c>
      <c r="L47" s="68" t="str">
        <f>D47&amp;" "&amp;E47&amp;" "&amp;F47&amp;" "&amp;G47&amp;" ("&amp;H47&amp;") "&amp;I47</f>
        <v>A29 SMH380 DP 2-4 Grondmechanische Rapport (D2) 2023-05-01</v>
      </c>
      <c r="M47" s="25">
        <v>1040091</v>
      </c>
      <c r="N47" s="25" t="s">
        <v>59</v>
      </c>
      <c r="O47" s="25" t="s">
        <v>75</v>
      </c>
      <c r="P47" s="10"/>
      <c r="S47" s="6"/>
    </row>
    <row r="48" spans="3:19" ht="16.5" customHeight="1" x14ac:dyDescent="0.35">
      <c r="C48" s="117"/>
      <c r="D48" s="96"/>
      <c r="E48" s="118"/>
      <c r="F48" s="118"/>
      <c r="G48" s="117"/>
      <c r="H48" s="25"/>
      <c r="I48" s="119"/>
      <c r="J48" s="5"/>
      <c r="K48" s="68"/>
      <c r="L48" s="68"/>
      <c r="M48" s="25"/>
      <c r="N48" s="25"/>
      <c r="O48" s="25"/>
      <c r="P48" s="10"/>
      <c r="S48" s="6"/>
    </row>
    <row r="49" spans="2:19" ht="16.5" customHeight="1" x14ac:dyDescent="0.35">
      <c r="C49" s="117">
        <v>2</v>
      </c>
      <c r="D49" s="96" t="s">
        <v>123</v>
      </c>
      <c r="E49" s="118" t="s">
        <v>35</v>
      </c>
      <c r="F49" s="118" t="s">
        <v>36</v>
      </c>
      <c r="G49" s="117" t="s">
        <v>126</v>
      </c>
      <c r="H49" s="25" t="s">
        <v>102</v>
      </c>
      <c r="I49" s="119" t="s">
        <v>774</v>
      </c>
      <c r="J49" s="5" t="s">
        <v>14</v>
      </c>
      <c r="K49" s="68" t="str">
        <f t="shared" si="2"/>
        <v>A30 SMH380 DP 2-4 Grondmechanische Rapport GEF Bestanden</v>
      </c>
      <c r="L49" s="68" t="str">
        <f t="shared" si="4"/>
        <v>A30 SMH380 DP 2-4 Grondmechanische Rapport GEF Bestanden (D2) 2023-05-01</v>
      </c>
      <c r="M49" s="25">
        <v>1111003</v>
      </c>
      <c r="N49" s="25" t="s">
        <v>59</v>
      </c>
      <c r="O49" s="25" t="s">
        <v>75</v>
      </c>
      <c r="P49" s="10"/>
      <c r="S49" s="6"/>
    </row>
    <row r="50" spans="2:19" ht="16.5" customHeight="1" x14ac:dyDescent="0.35">
      <c r="C50" s="117">
        <v>2</v>
      </c>
      <c r="D50" s="96" t="s">
        <v>125</v>
      </c>
      <c r="E50" s="118" t="s">
        <v>35</v>
      </c>
      <c r="F50" s="118" t="s">
        <v>36</v>
      </c>
      <c r="G50" s="117" t="s">
        <v>128</v>
      </c>
      <c r="H50" s="26" t="s">
        <v>57</v>
      </c>
      <c r="I50" s="119" t="s">
        <v>775</v>
      </c>
      <c r="J50" s="5" t="s">
        <v>14</v>
      </c>
      <c r="K50" s="68" t="str">
        <f t="shared" si="2"/>
        <v>A31 SMH380 DP 2-4 Grondonderzoek Boorplannen(Kaart 1-6)</v>
      </c>
      <c r="L50" s="68" t="str">
        <f t="shared" si="4"/>
        <v>A31 SMH380 DP 2-4 Grondonderzoek Boorplannen(Kaart 1-6) (-.-) 2022-09-28</v>
      </c>
      <c r="M50" s="25">
        <v>1040085</v>
      </c>
      <c r="N50" s="25" t="s">
        <v>59</v>
      </c>
      <c r="O50" s="25" t="s">
        <v>75</v>
      </c>
      <c r="P50" s="10"/>
      <c r="S50" s="6"/>
    </row>
    <row r="51" spans="2:19" ht="16.5" customHeight="1" x14ac:dyDescent="0.35">
      <c r="C51" s="117">
        <v>2</v>
      </c>
      <c r="D51" s="96" t="s">
        <v>127</v>
      </c>
      <c r="E51" s="118" t="s">
        <v>35</v>
      </c>
      <c r="F51" s="118" t="s">
        <v>36</v>
      </c>
      <c r="G51" s="117" t="s">
        <v>130</v>
      </c>
      <c r="H51" s="25" t="s">
        <v>131</v>
      </c>
      <c r="I51" s="119" t="s">
        <v>774</v>
      </c>
      <c r="J51" s="5" t="s">
        <v>14</v>
      </c>
      <c r="K51" s="68" t="str">
        <f t="shared" si="2"/>
        <v>A32 SMH380 DP 2-4 Landmeetkundige opname</v>
      </c>
      <c r="L51" s="68" t="str">
        <f t="shared" si="4"/>
        <v>A32 SMH380 DP 2-4 Landmeetkundige opname (D3) 2023-05-01</v>
      </c>
      <c r="M51" s="25">
        <v>1040086</v>
      </c>
      <c r="N51" s="25" t="s">
        <v>59</v>
      </c>
      <c r="O51" s="25" t="s">
        <v>75</v>
      </c>
      <c r="P51" s="10"/>
      <c r="S51" s="6"/>
    </row>
    <row r="52" spans="2:19" ht="16.5" customHeight="1" x14ac:dyDescent="0.35">
      <c r="C52" s="117">
        <v>2</v>
      </c>
      <c r="D52" s="96" t="s">
        <v>129</v>
      </c>
      <c r="E52" s="118" t="s">
        <v>35</v>
      </c>
      <c r="F52" s="118" t="s">
        <v>36</v>
      </c>
      <c r="G52" s="117" t="s">
        <v>133</v>
      </c>
      <c r="H52" s="57" t="s">
        <v>102</v>
      </c>
      <c r="I52" s="119" t="s">
        <v>776</v>
      </c>
      <c r="J52" s="5" t="s">
        <v>14</v>
      </c>
      <c r="K52" s="68" t="str">
        <f t="shared" si="2"/>
        <v>A33 SMH380 DP 2-4 Verkennend Bodem- en Wateronderzoek</v>
      </c>
      <c r="L52" s="68" t="str">
        <f t="shared" si="4"/>
        <v>A33 SMH380 DP 2-4 Verkennend Bodem- en Wateronderzoek (D2) 2023-10-05</v>
      </c>
      <c r="M52" s="25">
        <v>1040093</v>
      </c>
      <c r="N52" s="25" t="s">
        <v>59</v>
      </c>
      <c r="O52" s="25" t="s">
        <v>75</v>
      </c>
      <c r="P52" s="10"/>
      <c r="S52" s="6"/>
    </row>
    <row r="53" spans="2:19" ht="16.5" customHeight="1" x14ac:dyDescent="0.35">
      <c r="C53" s="117">
        <v>2</v>
      </c>
      <c r="D53" s="96" t="s">
        <v>132</v>
      </c>
      <c r="E53" s="118" t="s">
        <v>35</v>
      </c>
      <c r="F53" s="118" t="s">
        <v>36</v>
      </c>
      <c r="G53" s="117" t="s">
        <v>135</v>
      </c>
      <c r="H53" s="25" t="s">
        <v>131</v>
      </c>
      <c r="I53" s="119" t="s">
        <v>777</v>
      </c>
      <c r="J53" s="5" t="s">
        <v>14</v>
      </c>
      <c r="K53" s="68" t="str">
        <f t="shared" si="2"/>
        <v>A34 SMH380 DP 2-4 Proefsleuven Onderzoek</v>
      </c>
      <c r="L53" s="68" t="str">
        <f t="shared" si="4"/>
        <v>A34 SMH380 DP 2-4 Proefsleuven Onderzoek (D3) 2022-08-03</v>
      </c>
      <c r="M53" s="25">
        <v>1040097</v>
      </c>
      <c r="N53" s="25" t="s">
        <v>59</v>
      </c>
      <c r="O53" s="25" t="s">
        <v>75</v>
      </c>
      <c r="P53" s="10"/>
      <c r="S53" s="6"/>
    </row>
    <row r="54" spans="2:19" ht="16.5" customHeight="1" x14ac:dyDescent="0.35">
      <c r="C54" s="117">
        <v>2</v>
      </c>
      <c r="D54" s="96" t="s">
        <v>134</v>
      </c>
      <c r="E54" s="118" t="s">
        <v>35</v>
      </c>
      <c r="F54" s="118" t="s">
        <v>36</v>
      </c>
      <c r="G54" s="117" t="s">
        <v>137</v>
      </c>
      <c r="H54" s="25" t="s">
        <v>102</v>
      </c>
      <c r="I54" s="119" t="s">
        <v>778</v>
      </c>
      <c r="J54" s="5" t="s">
        <v>14</v>
      </c>
      <c r="K54" s="68" t="str">
        <f t="shared" si="2"/>
        <v>A35 SMH380 DP 2-4 Verhardingsonderzoek Asfalt</v>
      </c>
      <c r="L54" s="68" t="str">
        <f t="shared" si="4"/>
        <v>A35 SMH380 DP 2-4 Verhardingsonderzoek Asfalt (D2) 2023-09-21</v>
      </c>
      <c r="M54" s="25">
        <v>1040096</v>
      </c>
      <c r="N54" s="25" t="s">
        <v>59</v>
      </c>
      <c r="O54" s="25" t="s">
        <v>75</v>
      </c>
      <c r="P54" s="10"/>
      <c r="S54" s="6"/>
    </row>
    <row r="55" spans="2:19" ht="16.5" customHeight="1" x14ac:dyDescent="0.35">
      <c r="C55" s="117">
        <v>2</v>
      </c>
      <c r="D55" s="96" t="s">
        <v>136</v>
      </c>
      <c r="E55" s="118" t="s">
        <v>35</v>
      </c>
      <c r="F55" s="118" t="s">
        <v>36</v>
      </c>
      <c r="G55" s="117" t="s">
        <v>139</v>
      </c>
      <c r="H55" s="25" t="s">
        <v>140</v>
      </c>
      <c r="I55" s="119" t="s">
        <v>779</v>
      </c>
      <c r="J55" s="5" t="s">
        <v>14</v>
      </c>
      <c r="K55" s="68" t="str">
        <f t="shared" si="2"/>
        <v>A36 SMH380 DP 2-4 Verkennend Natuuronderzoek</v>
      </c>
      <c r="L55" s="68" t="str">
        <f t="shared" si="4"/>
        <v>A36 SMH380 DP 2-4 Verkennend Natuuronderzoek (D5) 2023-08-02</v>
      </c>
      <c r="M55" s="25">
        <v>1040088</v>
      </c>
      <c r="N55" s="25" t="s">
        <v>59</v>
      </c>
      <c r="O55" s="25" t="s">
        <v>75</v>
      </c>
      <c r="P55" s="10"/>
      <c r="S55" s="6"/>
    </row>
    <row r="56" spans="2:19" ht="16.5" customHeight="1" x14ac:dyDescent="0.35">
      <c r="C56" s="117">
        <v>2</v>
      </c>
      <c r="D56" s="96" t="s">
        <v>138</v>
      </c>
      <c r="E56" s="118" t="s">
        <v>35</v>
      </c>
      <c r="F56" s="118" t="s">
        <v>36</v>
      </c>
      <c r="G56" s="117" t="s">
        <v>142</v>
      </c>
      <c r="H56" s="25" t="s">
        <v>96</v>
      </c>
      <c r="I56" s="119" t="s">
        <v>776</v>
      </c>
      <c r="J56" s="5" t="s">
        <v>14</v>
      </c>
      <c r="K56" s="68" t="str">
        <f t="shared" si="2"/>
        <v>A37 SMH380 DP 2-4 Aanvullend Natuuronderzoek</v>
      </c>
      <c r="L56" s="68" t="str">
        <f t="shared" si="4"/>
        <v>A37 SMH380 DP 2-4 Aanvullend Natuuronderzoek (D0) 2023-10-05</v>
      </c>
      <c r="M56" s="25">
        <v>1197549</v>
      </c>
      <c r="N56" s="25" t="s">
        <v>59</v>
      </c>
      <c r="O56" s="25" t="s">
        <v>75</v>
      </c>
      <c r="P56" s="10"/>
      <c r="S56" s="6"/>
    </row>
    <row r="57" spans="2:19" ht="16.5" customHeight="1" x14ac:dyDescent="0.35">
      <c r="C57" s="117">
        <v>2</v>
      </c>
      <c r="D57" s="96" t="s">
        <v>141</v>
      </c>
      <c r="E57" s="118" t="s">
        <v>35</v>
      </c>
      <c r="F57" s="118" t="s">
        <v>36</v>
      </c>
      <c r="G57" s="117" t="s">
        <v>144</v>
      </c>
      <c r="H57" s="130" t="s">
        <v>782</v>
      </c>
      <c r="I57" s="131" t="s">
        <v>783</v>
      </c>
      <c r="J57" s="5" t="s">
        <v>14</v>
      </c>
      <c r="K57" s="68" t="str">
        <f t="shared" si="2"/>
        <v>A38 SMH380 DP 2-4 Watertoets</v>
      </c>
      <c r="L57" s="68" t="str">
        <f t="shared" si="4"/>
        <v>A38 SMH380 DP 2-4 Watertoets (D6) 2024-03-13</v>
      </c>
      <c r="M57" s="25">
        <v>1040106</v>
      </c>
      <c r="N57" s="25" t="s">
        <v>59</v>
      </c>
      <c r="O57" s="25" t="s">
        <v>75</v>
      </c>
      <c r="P57" s="10"/>
      <c r="S57" s="6"/>
    </row>
    <row r="58" spans="2:19" ht="16.5" customHeight="1" x14ac:dyDescent="0.35">
      <c r="C58" s="117">
        <v>2</v>
      </c>
      <c r="D58" s="96" t="s">
        <v>143</v>
      </c>
      <c r="E58" s="118" t="s">
        <v>35</v>
      </c>
      <c r="F58" s="118" t="s">
        <v>36</v>
      </c>
      <c r="G58" s="117" t="s">
        <v>146</v>
      </c>
      <c r="H58" s="26" t="s">
        <v>43</v>
      </c>
      <c r="I58" s="119" t="s">
        <v>403</v>
      </c>
      <c r="J58" s="5" t="s">
        <v>14</v>
      </c>
      <c r="K58" s="68" t="str">
        <f t="shared" si="2"/>
        <v>A39 SMH380 DP 2-4 Grondradarmeting</v>
      </c>
      <c r="L58" s="68" t="str">
        <f t="shared" si="4"/>
        <v>A39 SMH380 DP 2-4 Grondradarmeting (1.0) 2023-09-25</v>
      </c>
      <c r="M58" s="25">
        <v>1242318</v>
      </c>
      <c r="N58" s="25" t="s">
        <v>59</v>
      </c>
      <c r="O58" s="25" t="s">
        <v>75</v>
      </c>
      <c r="P58" s="10"/>
      <c r="S58" s="6"/>
    </row>
    <row r="59" spans="2:19" ht="16.5" customHeight="1" x14ac:dyDescent="0.35">
      <c r="C59" s="117"/>
      <c r="D59" s="96"/>
      <c r="E59" s="118"/>
      <c r="F59" s="118"/>
      <c r="G59" s="117"/>
      <c r="H59" s="26"/>
      <c r="I59" s="119"/>
      <c r="J59" s="5"/>
      <c r="K59" s="68"/>
      <c r="L59" s="68"/>
      <c r="M59" s="25"/>
      <c r="N59" s="25"/>
      <c r="O59" s="25"/>
      <c r="P59" s="10"/>
      <c r="S59" s="6"/>
    </row>
    <row r="60" spans="2:19" ht="16.5" customHeight="1" x14ac:dyDescent="0.35">
      <c r="B60" s="100">
        <v>1</v>
      </c>
      <c r="C60" s="117">
        <v>2</v>
      </c>
      <c r="D60" s="96" t="s">
        <v>145</v>
      </c>
      <c r="E60" s="118" t="s">
        <v>35</v>
      </c>
      <c r="F60" s="118" t="s">
        <v>36</v>
      </c>
      <c r="G60" s="117" t="s">
        <v>147</v>
      </c>
      <c r="H60" s="71" t="s">
        <v>114</v>
      </c>
      <c r="I60" s="119" t="s">
        <v>769</v>
      </c>
      <c r="J60" s="5" t="s">
        <v>14</v>
      </c>
      <c r="K60" s="68" t="str">
        <f t="shared" si="2"/>
        <v>A40 SMH380 DP 2-4 Stabiliteitsbeschouwing</v>
      </c>
      <c r="L60" s="68" t="str">
        <f>D60&amp;" "&amp;E60&amp;" "&amp;F60&amp;" "&amp;G60&amp;" ("&amp;H60&amp;") "&amp;I60</f>
        <v>A40 SMH380 DP 2-4 Stabiliteitsbeschouwing (2.0) 2023-11-01</v>
      </c>
      <c r="M60" s="25">
        <v>1233679</v>
      </c>
      <c r="N60" s="25" t="s">
        <v>59</v>
      </c>
      <c r="O60" s="25" t="s">
        <v>75</v>
      </c>
      <c r="P60" s="10"/>
      <c r="S60" s="6"/>
    </row>
    <row r="61" spans="2:19" ht="16.5" customHeight="1" x14ac:dyDescent="0.35">
      <c r="B61" s="100"/>
      <c r="C61" s="50"/>
      <c r="D61" s="96"/>
      <c r="E61" s="4"/>
      <c r="F61" s="4"/>
      <c r="G61" s="31"/>
      <c r="H61" s="26"/>
      <c r="I61" s="21"/>
      <c r="J61" s="5"/>
      <c r="K61" s="68" t="str">
        <f t="shared" si="2"/>
        <v xml:space="preserve">   </v>
      </c>
      <c r="L61" s="68"/>
      <c r="M61" s="9"/>
      <c r="N61" s="9"/>
      <c r="O61" s="9"/>
      <c r="P61" s="10"/>
      <c r="S61" s="6"/>
    </row>
    <row r="62" spans="2:19" ht="16.5" customHeight="1" x14ac:dyDescent="0.35">
      <c r="B62" s="100"/>
      <c r="C62" s="87">
        <v>2</v>
      </c>
      <c r="D62" s="96" t="s">
        <v>148</v>
      </c>
      <c r="E62" s="4" t="s">
        <v>35</v>
      </c>
      <c r="F62" s="4" t="s">
        <v>36</v>
      </c>
      <c r="G62" s="31" t="s">
        <v>149</v>
      </c>
      <c r="H62" s="71" t="s">
        <v>43</v>
      </c>
      <c r="I62" s="21" t="s">
        <v>53</v>
      </c>
      <c r="J62" s="5" t="s">
        <v>14</v>
      </c>
      <c r="K62" s="68" t="str">
        <f t="shared" ref="K62:K67" si="5">D62&amp;" "&amp;E62&amp;" "&amp;F62&amp;" "&amp;G62</f>
        <v>A51 SMH380 DP 2-4 Brondocumentenlijst eisen</v>
      </c>
      <c r="L62" s="68" t="str">
        <f t="shared" ref="L62:L67" si="6">D62&amp;" "&amp;E62&amp;" "&amp;F62&amp;" "&amp;G62&amp;" ("&amp;H62&amp;") "&amp;I62</f>
        <v>A51 SMH380 DP 2-4 Brondocumentenlijst eisen (1.0) 2024-02-01</v>
      </c>
      <c r="M62" s="9">
        <v>1287527</v>
      </c>
      <c r="N62" s="9" t="s">
        <v>59</v>
      </c>
      <c r="O62" s="9" t="s">
        <v>40</v>
      </c>
      <c r="P62" s="10"/>
      <c r="S62" s="6"/>
    </row>
    <row r="63" spans="2:19" ht="16.5" customHeight="1" x14ac:dyDescent="0.35">
      <c r="B63" s="100"/>
      <c r="C63" s="87">
        <v>2</v>
      </c>
      <c r="D63" s="96" t="s">
        <v>150</v>
      </c>
      <c r="E63" s="4" t="s">
        <v>35</v>
      </c>
      <c r="F63" s="4" t="s">
        <v>36</v>
      </c>
      <c r="G63" s="31" t="s">
        <v>151</v>
      </c>
      <c r="H63" s="71" t="s">
        <v>43</v>
      </c>
      <c r="I63" s="21" t="s">
        <v>53</v>
      </c>
      <c r="J63" s="5" t="s">
        <v>14</v>
      </c>
      <c r="K63" s="68" t="str">
        <f t="shared" si="5"/>
        <v>A52 SMH380 DP 2-4 Eisenlijst Asset Management met koppeling OTL</v>
      </c>
      <c r="L63" s="68" t="str">
        <f t="shared" si="6"/>
        <v>A52 SMH380 DP 2-4 Eisenlijst Asset Management met koppeling OTL (1.0) 2024-02-01</v>
      </c>
      <c r="M63" s="9">
        <v>1287528</v>
      </c>
      <c r="N63" s="9" t="s">
        <v>59</v>
      </c>
      <c r="O63" s="9" t="s">
        <v>40</v>
      </c>
      <c r="P63" s="10"/>
      <c r="S63" s="6"/>
    </row>
    <row r="64" spans="2:19" ht="16.5" customHeight="1" x14ac:dyDescent="0.35">
      <c r="B64" s="100"/>
      <c r="C64" s="87">
        <v>2</v>
      </c>
      <c r="D64" s="96" t="s">
        <v>152</v>
      </c>
      <c r="E64" s="4" t="s">
        <v>35</v>
      </c>
      <c r="F64" s="4" t="s">
        <v>36</v>
      </c>
      <c r="G64" s="31" t="s">
        <v>153</v>
      </c>
      <c r="H64" s="71" t="s">
        <v>43</v>
      </c>
      <c r="I64" s="21" t="s">
        <v>53</v>
      </c>
      <c r="J64" s="5" t="s">
        <v>14</v>
      </c>
      <c r="K64" s="68" t="str">
        <f t="shared" si="5"/>
        <v>A53 SMH380 DP 2-4 Objecttypen lijst Asset Management</v>
      </c>
      <c r="L64" s="68" t="str">
        <f t="shared" si="6"/>
        <v>A53 SMH380 DP 2-4 Objecttypen lijst Asset Management (1.0) 2024-02-01</v>
      </c>
      <c r="M64" s="9">
        <v>1287529</v>
      </c>
      <c r="N64" s="9" t="s">
        <v>59</v>
      </c>
      <c r="O64" s="9" t="s">
        <v>40</v>
      </c>
      <c r="P64" s="10"/>
      <c r="S64" s="6"/>
    </row>
    <row r="65" spans="2:19" ht="16.5" customHeight="1" x14ac:dyDescent="0.35">
      <c r="B65" s="100"/>
      <c r="C65" s="87">
        <v>2</v>
      </c>
      <c r="D65" s="96" t="s">
        <v>154</v>
      </c>
      <c r="E65" s="4" t="s">
        <v>35</v>
      </c>
      <c r="F65" s="4" t="s">
        <v>36</v>
      </c>
      <c r="G65" s="31" t="s">
        <v>155</v>
      </c>
      <c r="H65" s="71" t="s">
        <v>43</v>
      </c>
      <c r="I65" s="21" t="s">
        <v>53</v>
      </c>
      <c r="J65" s="5" t="s">
        <v>14</v>
      </c>
      <c r="K65" s="68" t="str">
        <f t="shared" si="5"/>
        <v>A54 SMH380 DP 2-4 Project specifieke eisenlijst</v>
      </c>
      <c r="L65" s="68" t="str">
        <f t="shared" si="6"/>
        <v>A54 SMH380 DP 2-4 Project specifieke eisenlijst (1.0) 2024-02-01</v>
      </c>
      <c r="M65" s="9">
        <v>1287530</v>
      </c>
      <c r="N65" s="9" t="s">
        <v>59</v>
      </c>
      <c r="O65" s="9" t="s">
        <v>40</v>
      </c>
      <c r="P65" s="10"/>
      <c r="S65" s="6"/>
    </row>
    <row r="66" spans="2:19" ht="16.5" customHeight="1" x14ac:dyDescent="0.35">
      <c r="B66" s="100"/>
      <c r="C66" s="87">
        <v>2</v>
      </c>
      <c r="D66" s="96" t="s">
        <v>156</v>
      </c>
      <c r="E66" s="4" t="s">
        <v>35</v>
      </c>
      <c r="F66" s="4" t="s">
        <v>36</v>
      </c>
      <c r="G66" s="31" t="s">
        <v>157</v>
      </c>
      <c r="H66" s="71" t="s">
        <v>43</v>
      </c>
      <c r="I66" s="21" t="s">
        <v>53</v>
      </c>
      <c r="J66" s="5" t="s">
        <v>14</v>
      </c>
      <c r="K66" s="68" t="str">
        <f t="shared" si="5"/>
        <v>A55 SMH380 DP 2-4 Project specifieke objectenboom</v>
      </c>
      <c r="L66" s="68" t="str">
        <f t="shared" si="6"/>
        <v>A55 SMH380 DP 2-4 Project specifieke objectenboom (1.0) 2024-02-01</v>
      </c>
      <c r="M66" s="9">
        <v>1287489</v>
      </c>
      <c r="N66" s="9" t="s">
        <v>59</v>
      </c>
      <c r="O66" s="9" t="s">
        <v>40</v>
      </c>
      <c r="P66" s="10"/>
      <c r="S66" s="6"/>
    </row>
    <row r="67" spans="2:19" ht="16.5" customHeight="1" x14ac:dyDescent="0.35">
      <c r="B67" s="100"/>
      <c r="C67" s="87">
        <v>2</v>
      </c>
      <c r="D67" s="96" t="s">
        <v>158</v>
      </c>
      <c r="E67" s="4" t="s">
        <v>35</v>
      </c>
      <c r="F67" s="4" t="s">
        <v>36</v>
      </c>
      <c r="G67" s="31" t="s">
        <v>159</v>
      </c>
      <c r="H67" s="71" t="s">
        <v>43</v>
      </c>
      <c r="I67" s="21" t="s">
        <v>53</v>
      </c>
      <c r="J67" s="5" t="s">
        <v>14</v>
      </c>
      <c r="K67" s="68" t="str">
        <f t="shared" si="5"/>
        <v>A56 SMH380 DP 2-4 Verschil analyse eisen DP1 en DP2-4</v>
      </c>
      <c r="L67" s="68" t="str">
        <f t="shared" si="6"/>
        <v>A56 SMH380 DP 2-4 Verschil analyse eisen DP1 en DP2-4 (1.0) 2024-02-01</v>
      </c>
      <c r="M67" s="9">
        <v>1287532</v>
      </c>
      <c r="N67" s="9" t="s">
        <v>59</v>
      </c>
      <c r="O67" s="9" t="s">
        <v>40</v>
      </c>
      <c r="P67" s="10"/>
      <c r="S67" s="6"/>
    </row>
    <row r="68" spans="2:19" ht="16.5" customHeight="1" x14ac:dyDescent="0.35">
      <c r="B68" s="100"/>
      <c r="C68" s="50"/>
      <c r="D68" s="96"/>
      <c r="E68" s="4"/>
      <c r="F68" s="4"/>
      <c r="G68" s="7"/>
      <c r="H68" s="25"/>
      <c r="I68" s="21"/>
      <c r="J68" s="5"/>
      <c r="K68" s="68"/>
      <c r="L68" s="68"/>
      <c r="M68" s="9"/>
      <c r="N68" s="9"/>
      <c r="O68" s="9"/>
      <c r="P68" s="10"/>
      <c r="S68" s="6"/>
    </row>
    <row r="69" spans="2:19" ht="16.5" customHeight="1" x14ac:dyDescent="0.35">
      <c r="B69" s="100"/>
      <c r="C69" s="50">
        <v>2</v>
      </c>
      <c r="D69" s="96" t="s">
        <v>160</v>
      </c>
      <c r="E69" s="4" t="s">
        <v>35</v>
      </c>
      <c r="F69" s="4" t="s">
        <v>36</v>
      </c>
      <c r="G69" s="7" t="s">
        <v>161</v>
      </c>
      <c r="H69" s="25" t="s">
        <v>43</v>
      </c>
      <c r="I69" s="21" t="s">
        <v>58</v>
      </c>
      <c r="J69" s="5" t="s">
        <v>14</v>
      </c>
      <c r="K69" s="68" t="str">
        <f t="shared" ref="K69:K76" si="7">D69&amp;" "&amp;E69&amp;" "&amp;F69&amp;" "&amp;G69</f>
        <v>A60 SMH380 DP 2-4 Noodplan 380kV Station Simonshaven</v>
      </c>
      <c r="L69" s="68" t="str">
        <f t="shared" ref="L69:L76" si="8">D69&amp;" "&amp;E69&amp;" "&amp;F69&amp;" "&amp;G69&amp;" ("&amp;H69&amp;") "&amp;I69</f>
        <v>A60 SMH380 DP 2-4 Noodplan 380kV Station Simonshaven (1.0) 2022-10-14</v>
      </c>
      <c r="M69" s="9">
        <v>1287533</v>
      </c>
      <c r="N69" s="9" t="s">
        <v>59</v>
      </c>
      <c r="O69" s="9" t="s">
        <v>75</v>
      </c>
      <c r="P69" s="10"/>
      <c r="S69" s="6"/>
    </row>
    <row r="70" spans="2:19" s="115" customFormat="1" ht="16.5" customHeight="1" x14ac:dyDescent="0.35">
      <c r="B70" s="100">
        <v>2</v>
      </c>
      <c r="C70" s="50">
        <v>2</v>
      </c>
      <c r="D70" s="96" t="s">
        <v>162</v>
      </c>
      <c r="E70" s="4" t="s">
        <v>35</v>
      </c>
      <c r="F70" s="4" t="s">
        <v>36</v>
      </c>
      <c r="G70" s="7" t="s">
        <v>163</v>
      </c>
      <c r="H70" s="158" t="str">
        <f>$E$9</f>
        <v>1.8</v>
      </c>
      <c r="I70" s="159" t="s">
        <v>784</v>
      </c>
      <c r="J70" s="5" t="s">
        <v>14</v>
      </c>
      <c r="K70" s="68" t="str">
        <f t="shared" si="7"/>
        <v>A61 SMH380 DP 2-4 Master Document Register</v>
      </c>
      <c r="L70" s="70" t="str">
        <f t="shared" si="8"/>
        <v>A61 SMH380 DP 2-4 Master Document Register (1.8) 2025-03-28</v>
      </c>
      <c r="M70" s="9">
        <v>1028405</v>
      </c>
      <c r="N70" s="9" t="s">
        <v>17</v>
      </c>
      <c r="O70" s="9" t="s">
        <v>40</v>
      </c>
      <c r="P70" s="10"/>
      <c r="S70" s="92"/>
    </row>
    <row r="71" spans="2:19" ht="16.5" customHeight="1" x14ac:dyDescent="0.35">
      <c r="C71" s="87">
        <v>2</v>
      </c>
      <c r="D71" s="96" t="s">
        <v>164</v>
      </c>
      <c r="E71" s="4" t="s">
        <v>35</v>
      </c>
      <c r="F71" s="4" t="s">
        <v>36</v>
      </c>
      <c r="G71" s="31" t="s">
        <v>165</v>
      </c>
      <c r="H71" s="25" t="s">
        <v>20</v>
      </c>
      <c r="I71" s="21" t="s">
        <v>166</v>
      </c>
      <c r="J71" s="5" t="s">
        <v>14</v>
      </c>
      <c r="K71" s="68" t="str">
        <f t="shared" si="7"/>
        <v>A62 SMH380 DP 2-4 Voorlopig Ombouw- en VNB Plan Uitbreiding Station</v>
      </c>
      <c r="L71" s="68" t="str">
        <f t="shared" si="8"/>
        <v>A62 SMH380 DP 2-4 Voorlopig Ombouw- en VNB Plan Uitbreiding Station (1.1) 2024-01-19</v>
      </c>
      <c r="M71" s="9">
        <v>1287535</v>
      </c>
      <c r="N71" s="9" t="s">
        <v>167</v>
      </c>
      <c r="O71" s="9" t="s">
        <v>40</v>
      </c>
      <c r="P71" s="10"/>
      <c r="S71" s="6"/>
    </row>
    <row r="72" spans="2:19" ht="16.5" customHeight="1" x14ac:dyDescent="0.35">
      <c r="C72" s="50">
        <v>2</v>
      </c>
      <c r="D72" s="96" t="s">
        <v>168</v>
      </c>
      <c r="E72" s="4" t="s">
        <v>35</v>
      </c>
      <c r="F72" s="4" t="s">
        <v>36</v>
      </c>
      <c r="G72" s="31" t="s">
        <v>169</v>
      </c>
      <c r="H72" s="25" t="s">
        <v>43</v>
      </c>
      <c r="I72" s="21" t="s">
        <v>170</v>
      </c>
      <c r="J72" s="5" t="s">
        <v>14</v>
      </c>
      <c r="K72" s="68" t="str">
        <f t="shared" si="7"/>
        <v>A63 SMH380 DP 2-4 Voorlopig Stappenplan Uitbreiding Station</v>
      </c>
      <c r="L72" s="68" t="str">
        <f t="shared" si="8"/>
        <v>A63 SMH380 DP 2-4 Voorlopig Stappenplan Uitbreiding Station (1.0) 2024-01-24</v>
      </c>
      <c r="M72" s="9">
        <v>1287536</v>
      </c>
      <c r="N72" s="9" t="s">
        <v>171</v>
      </c>
      <c r="O72" s="9" t="s">
        <v>40</v>
      </c>
      <c r="P72" s="10"/>
      <c r="S72" s="6"/>
    </row>
    <row r="73" spans="2:19" ht="16.5" customHeight="1" x14ac:dyDescent="0.35">
      <c r="C73" s="50">
        <v>2</v>
      </c>
      <c r="D73" s="96" t="s">
        <v>172</v>
      </c>
      <c r="E73" s="4" t="s">
        <v>35</v>
      </c>
      <c r="F73" s="4" t="s">
        <v>36</v>
      </c>
      <c r="G73" s="31" t="s">
        <v>173</v>
      </c>
      <c r="H73" s="25" t="s">
        <v>43</v>
      </c>
      <c r="I73" s="21" t="s">
        <v>174</v>
      </c>
      <c r="J73" s="5" t="s">
        <v>14</v>
      </c>
      <c r="K73" s="68" t="str">
        <f t="shared" si="7"/>
        <v>A64 SMH380 DP 2-4 Voorlopig Ombouw- en VNB Plan NSA en HS-LS Aansluiting</v>
      </c>
      <c r="L73" s="68" t="str">
        <f t="shared" si="8"/>
        <v>A64 SMH380 DP 2-4 Voorlopig Ombouw- en VNB Plan NSA en HS-LS Aansluiting (1.0) 2024-01-25</v>
      </c>
      <c r="M73" s="9">
        <v>1287537</v>
      </c>
      <c r="N73" s="9" t="s">
        <v>175</v>
      </c>
      <c r="O73" s="9" t="s">
        <v>40</v>
      </c>
      <c r="P73" s="10"/>
      <c r="S73" s="6"/>
    </row>
    <row r="74" spans="2:19" ht="16.5" customHeight="1" x14ac:dyDescent="0.35">
      <c r="C74" s="50">
        <v>2</v>
      </c>
      <c r="D74" s="96" t="s">
        <v>176</v>
      </c>
      <c r="E74" s="4" t="s">
        <v>35</v>
      </c>
      <c r="F74" s="4" t="s">
        <v>36</v>
      </c>
      <c r="G74" s="31" t="s">
        <v>177</v>
      </c>
      <c r="H74" s="26" t="s">
        <v>43</v>
      </c>
      <c r="I74" s="21" t="s">
        <v>174</v>
      </c>
      <c r="J74" s="5" t="s">
        <v>14</v>
      </c>
      <c r="K74" s="68" t="str">
        <f t="shared" si="7"/>
        <v>A65 SMH380 DP 2-4 Voorlopig Stappenplan vervanging NSA</v>
      </c>
      <c r="L74" s="68" t="str">
        <f t="shared" si="8"/>
        <v>A65 SMH380 DP 2-4 Voorlopig Stappenplan vervanging NSA (1.0) 2024-01-25</v>
      </c>
      <c r="M74" s="9">
        <v>1287538</v>
      </c>
      <c r="N74" s="9" t="s">
        <v>178</v>
      </c>
      <c r="O74" s="9" t="s">
        <v>40</v>
      </c>
      <c r="P74" s="10"/>
      <c r="S74" s="6"/>
    </row>
    <row r="75" spans="2:19" ht="16.5" customHeight="1" x14ac:dyDescent="0.35">
      <c r="C75" s="50">
        <v>2</v>
      </c>
      <c r="D75" s="96" t="s">
        <v>179</v>
      </c>
      <c r="E75" s="4" t="s">
        <v>35</v>
      </c>
      <c r="F75" s="4" t="s">
        <v>36</v>
      </c>
      <c r="G75" s="31" t="s">
        <v>180</v>
      </c>
      <c r="H75" s="26" t="s">
        <v>43</v>
      </c>
      <c r="I75" s="21" t="s">
        <v>174</v>
      </c>
      <c r="J75" s="5" t="s">
        <v>14</v>
      </c>
      <c r="K75" s="68" t="str">
        <f t="shared" si="7"/>
        <v>A66 SMH380 DP 2-4 Voorlopig Stappenplan vervanging HS-LS Aansluiting</v>
      </c>
      <c r="L75" s="68" t="str">
        <f t="shared" si="8"/>
        <v>A66 SMH380 DP 2-4 Voorlopig Stappenplan vervanging HS-LS Aansluiting (1.0) 2024-01-25</v>
      </c>
      <c r="M75" s="9">
        <v>1287539</v>
      </c>
      <c r="N75" s="9" t="s">
        <v>181</v>
      </c>
      <c r="O75" s="9" t="s">
        <v>40</v>
      </c>
      <c r="P75" s="10"/>
      <c r="S75" s="6"/>
    </row>
    <row r="76" spans="2:19" ht="16.5" customHeight="1" x14ac:dyDescent="0.35">
      <c r="C76" s="50">
        <v>2</v>
      </c>
      <c r="D76" s="96" t="s">
        <v>182</v>
      </c>
      <c r="E76" s="4" t="s">
        <v>35</v>
      </c>
      <c r="F76" s="4" t="s">
        <v>36</v>
      </c>
      <c r="G76" s="117" t="s">
        <v>183</v>
      </c>
      <c r="H76" s="26" t="s">
        <v>20</v>
      </c>
      <c r="I76" s="21" t="s">
        <v>174</v>
      </c>
      <c r="J76" s="5" t="s">
        <v>14</v>
      </c>
      <c r="K76" s="68" t="str">
        <f t="shared" si="7"/>
        <v>A67 SMH380 DP 2-4 Voorlopige VNB Planning Uitbreiding Station</v>
      </c>
      <c r="L76" s="68" t="str">
        <f t="shared" si="8"/>
        <v>A67 SMH380 DP 2-4 Voorlopige VNB Planning Uitbreiding Station (1.1) 2024-01-25</v>
      </c>
      <c r="M76" s="9">
        <v>1287540</v>
      </c>
      <c r="N76" s="9" t="s">
        <v>184</v>
      </c>
      <c r="O76" s="9" t="s">
        <v>40</v>
      </c>
      <c r="P76" s="10"/>
      <c r="S76" s="6"/>
    </row>
    <row r="77" spans="2:19" ht="16.5" customHeight="1" x14ac:dyDescent="0.35">
      <c r="C77" s="50"/>
      <c r="D77" s="96"/>
      <c r="E77" s="4"/>
      <c r="F77" s="4"/>
      <c r="G77" s="117"/>
      <c r="H77" s="26"/>
      <c r="I77" s="21"/>
      <c r="J77" s="5"/>
      <c r="K77" s="68"/>
      <c r="L77" s="68"/>
      <c r="M77" s="9"/>
      <c r="N77" s="9"/>
      <c r="O77" s="9"/>
      <c r="P77" s="10"/>
      <c r="S77" s="6"/>
    </row>
    <row r="78" spans="2:19" ht="16.5" customHeight="1" x14ac:dyDescent="0.35">
      <c r="C78" s="50">
        <v>2</v>
      </c>
      <c r="D78" s="96" t="s">
        <v>185</v>
      </c>
      <c r="E78" s="4" t="s">
        <v>35</v>
      </c>
      <c r="F78" s="4" t="s">
        <v>36</v>
      </c>
      <c r="G78" s="117" t="s">
        <v>186</v>
      </c>
      <c r="H78" s="26" t="s">
        <v>43</v>
      </c>
      <c r="I78" s="21" t="s">
        <v>187</v>
      </c>
      <c r="J78" s="5" t="s">
        <v>14</v>
      </c>
      <c r="K78" s="68" t="str">
        <f t="shared" ref="K78:K83" si="9">D78&amp;" "&amp;E78&amp;" "&amp;F78&amp;" "&amp;G78</f>
        <v>A70 SMH380 DP 2-4 Sustainability Goals TenneT</v>
      </c>
      <c r="L78" s="68" t="str">
        <f t="shared" ref="L78:L83" si="10">D78&amp;" "&amp;E78&amp;" "&amp;F78&amp;" "&amp;G78&amp;" ("&amp;H78&amp;") "&amp;I78</f>
        <v>A70 SMH380 DP 2-4 Sustainability Goals TenneT (1.0) 2019-01-23</v>
      </c>
      <c r="M78" s="9">
        <v>1287541</v>
      </c>
      <c r="N78" s="9" t="s">
        <v>59</v>
      </c>
      <c r="O78" s="9" t="s">
        <v>40</v>
      </c>
      <c r="P78" s="10"/>
      <c r="S78" s="6"/>
    </row>
    <row r="79" spans="2:19" ht="16.5" customHeight="1" x14ac:dyDescent="0.35">
      <c r="C79" s="50">
        <v>2</v>
      </c>
      <c r="D79" s="96" t="s">
        <v>188</v>
      </c>
      <c r="E79" s="4" t="s">
        <v>35</v>
      </c>
      <c r="F79" s="4" t="s">
        <v>36</v>
      </c>
      <c r="G79" s="117" t="s">
        <v>189</v>
      </c>
      <c r="H79" s="26" t="s">
        <v>57</v>
      </c>
      <c r="I79" s="21" t="s">
        <v>190</v>
      </c>
      <c r="J79" s="5" t="s">
        <v>14</v>
      </c>
      <c r="K79" s="68" t="str">
        <f t="shared" si="9"/>
        <v>A71 SMH380 DP 2-4 TenneT Inspiratiegids Duurzaamheid</v>
      </c>
      <c r="L79" s="68" t="str">
        <f t="shared" si="10"/>
        <v>A71 SMH380 DP 2-4 TenneT Inspiratiegids Duurzaamheid (-.-) 2023-01-01</v>
      </c>
      <c r="M79" s="9">
        <v>1287542</v>
      </c>
      <c r="N79" s="9" t="s">
        <v>59</v>
      </c>
      <c r="O79" s="9" t="s">
        <v>40</v>
      </c>
      <c r="P79" s="10"/>
      <c r="S79" s="6"/>
    </row>
    <row r="80" spans="2:19" ht="16.5" customHeight="1" x14ac:dyDescent="0.35">
      <c r="C80" s="50">
        <v>2</v>
      </c>
      <c r="D80" s="96" t="s">
        <v>191</v>
      </c>
      <c r="E80" s="4" t="s">
        <v>35</v>
      </c>
      <c r="F80" s="4" t="s">
        <v>36</v>
      </c>
      <c r="G80" s="117" t="s">
        <v>192</v>
      </c>
      <c r="H80" s="26" t="s">
        <v>57</v>
      </c>
      <c r="I80" s="21" t="s">
        <v>190</v>
      </c>
      <c r="J80" s="5" t="s">
        <v>14</v>
      </c>
      <c r="K80" s="68" t="str">
        <f t="shared" si="9"/>
        <v>A72 SMH380 DP 2-4 TenneT CSR Ambition 2025</v>
      </c>
      <c r="L80" s="68" t="str">
        <f t="shared" si="10"/>
        <v>A72 SMH380 DP 2-4 TenneT CSR Ambition 2025 (-.-) 2023-01-01</v>
      </c>
      <c r="M80" s="9">
        <v>1287543</v>
      </c>
      <c r="N80" s="9" t="s">
        <v>59</v>
      </c>
      <c r="O80" s="9" t="s">
        <v>40</v>
      </c>
      <c r="P80" s="10"/>
      <c r="S80" s="6"/>
    </row>
    <row r="81" spans="3:19" ht="16.5" customHeight="1" x14ac:dyDescent="0.35">
      <c r="C81" s="50">
        <v>2</v>
      </c>
      <c r="D81" s="96" t="s">
        <v>193</v>
      </c>
      <c r="E81" s="4" t="s">
        <v>35</v>
      </c>
      <c r="F81" s="4" t="s">
        <v>36</v>
      </c>
      <c r="G81" s="117" t="s">
        <v>194</v>
      </c>
      <c r="H81" s="26" t="s">
        <v>38</v>
      </c>
      <c r="I81" s="21" t="s">
        <v>195</v>
      </c>
      <c r="J81" s="5" t="s">
        <v>14</v>
      </c>
      <c r="K81" s="68" t="str">
        <f t="shared" si="9"/>
        <v>A73 SMH380 DP 2-4 Duurzaamheidssessie TenneT</v>
      </c>
      <c r="L81" s="68" t="str">
        <f t="shared" si="10"/>
        <v>A73 SMH380 DP 2-4 Duurzaamheidssessie TenneT (0.0) 2022-01-04</v>
      </c>
      <c r="M81" s="9">
        <v>1287544</v>
      </c>
      <c r="N81" s="9" t="s">
        <v>59</v>
      </c>
      <c r="O81" s="9" t="s">
        <v>40</v>
      </c>
      <c r="P81" s="10"/>
      <c r="S81" s="6"/>
    </row>
    <row r="82" spans="3:19" ht="16.5" customHeight="1" x14ac:dyDescent="0.35">
      <c r="C82" s="50">
        <v>2</v>
      </c>
      <c r="D82" s="96" t="s">
        <v>196</v>
      </c>
      <c r="E82" s="4" t="s">
        <v>35</v>
      </c>
      <c r="F82" s="4" t="s">
        <v>36</v>
      </c>
      <c r="G82" s="117" t="s">
        <v>197</v>
      </c>
      <c r="H82" s="26" t="s">
        <v>65</v>
      </c>
      <c r="I82" s="21" t="s">
        <v>198</v>
      </c>
      <c r="J82" s="5" t="s">
        <v>14</v>
      </c>
      <c r="K82" s="68" t="str">
        <f t="shared" si="9"/>
        <v xml:space="preserve">A74 SMH380 DP 2-4 Duurzaamheidsstudie </v>
      </c>
      <c r="L82" s="68" t="str">
        <f t="shared" si="10"/>
        <v>A74 SMH380 DP 2-4 Duurzaamheidsstudie  (3.0) 2023-06-26</v>
      </c>
      <c r="M82" s="9">
        <v>1287545</v>
      </c>
      <c r="N82" s="9" t="s">
        <v>59</v>
      </c>
      <c r="O82" s="9" t="s">
        <v>40</v>
      </c>
      <c r="P82" s="10"/>
      <c r="S82" s="6"/>
    </row>
    <row r="83" spans="3:19" ht="16.5" customHeight="1" x14ac:dyDescent="0.35">
      <c r="C83" s="50">
        <v>2</v>
      </c>
      <c r="D83" s="96" t="s">
        <v>199</v>
      </c>
      <c r="E83" s="4" t="s">
        <v>35</v>
      </c>
      <c r="F83" s="4" t="s">
        <v>36</v>
      </c>
      <c r="G83" s="117" t="s">
        <v>200</v>
      </c>
      <c r="H83" s="26" t="s">
        <v>114</v>
      </c>
      <c r="I83" s="21" t="s">
        <v>201</v>
      </c>
      <c r="J83" s="5" t="s">
        <v>14</v>
      </c>
      <c r="K83" s="68" t="str">
        <f t="shared" si="9"/>
        <v>A75 SMH380 DP 2-4 Ecologisch Ontwerpplan</v>
      </c>
      <c r="L83" s="68" t="str">
        <f t="shared" si="10"/>
        <v>A75 SMH380 DP 2-4 Ecologisch Ontwerpplan (2.0) 2023-04-17</v>
      </c>
      <c r="M83" s="9">
        <v>1287546</v>
      </c>
      <c r="N83" s="9" t="s">
        <v>59</v>
      </c>
      <c r="O83" s="9" t="s">
        <v>40</v>
      </c>
      <c r="P83" s="10"/>
      <c r="S83" s="6"/>
    </row>
    <row r="84" spans="3:19" ht="16.5" customHeight="1" x14ac:dyDescent="0.35">
      <c r="C84" s="10"/>
      <c r="D84" s="96"/>
      <c r="E84" s="4"/>
      <c r="F84" s="4"/>
      <c r="G84" s="117"/>
      <c r="H84" s="26"/>
      <c r="I84" s="21"/>
      <c r="J84" s="5"/>
      <c r="K84" s="68"/>
      <c r="L84" s="68"/>
      <c r="M84" s="9"/>
      <c r="N84" s="9"/>
      <c r="O84" s="9"/>
      <c r="P84" s="10"/>
      <c r="S84" s="6"/>
    </row>
    <row r="85" spans="3:19" ht="16.5" customHeight="1" x14ac:dyDescent="0.35">
      <c r="C85" s="50">
        <v>9</v>
      </c>
      <c r="D85" s="96" t="s">
        <v>624</v>
      </c>
      <c r="E85" s="4" t="s">
        <v>35</v>
      </c>
      <c r="F85" s="4" t="s">
        <v>36</v>
      </c>
      <c r="G85" s="117" t="s">
        <v>625</v>
      </c>
      <c r="H85" s="26" t="s">
        <v>38</v>
      </c>
      <c r="I85" s="21" t="s">
        <v>626</v>
      </c>
      <c r="J85" s="5" t="s">
        <v>14</v>
      </c>
      <c r="K85" s="68" t="str">
        <f t="shared" ref="K85" si="11">D85&amp;" "&amp;E85&amp;" "&amp;F85&amp;" "&amp;G85</f>
        <v>A80 SMH380 DP 2-4 Instructie werken met SAT-SIT Document</v>
      </c>
      <c r="L85" s="68" t="str">
        <f t="shared" ref="L85" si="12">D85&amp;" "&amp;E85&amp;" "&amp;F85&amp;" "&amp;G85&amp;" ("&amp;H85&amp;") "&amp;I85</f>
        <v>A80 SMH380 DP 2-4 Instructie werken met SAT-SIT Document (0.0) 2021-01-14</v>
      </c>
      <c r="M85" s="58">
        <v>1295212</v>
      </c>
      <c r="N85" s="9" t="s">
        <v>59</v>
      </c>
      <c r="O85" s="9" t="s">
        <v>40</v>
      </c>
      <c r="P85" s="10"/>
      <c r="S85" s="6"/>
    </row>
    <row r="86" spans="3:19" ht="16.5" customHeight="1" x14ac:dyDescent="0.35">
      <c r="C86" s="50">
        <v>9</v>
      </c>
      <c r="D86" s="96" t="s">
        <v>629</v>
      </c>
      <c r="E86" s="4" t="s">
        <v>35</v>
      </c>
      <c r="F86" s="4" t="s">
        <v>36</v>
      </c>
      <c r="G86" s="117" t="s">
        <v>628</v>
      </c>
      <c r="H86" s="26" t="s">
        <v>20</v>
      </c>
      <c r="I86" s="21" t="s">
        <v>627</v>
      </c>
      <c r="J86" s="5" t="s">
        <v>14</v>
      </c>
      <c r="K86" s="68" t="str">
        <f t="shared" ref="K86" si="13">D86&amp;" "&amp;E86&amp;" "&amp;F86&amp;" "&amp;G86</f>
        <v>A81 SMH380 DP 2-4 SAT-SIT Formulier Aarder</v>
      </c>
      <c r="L86" s="68" t="str">
        <f t="shared" ref="L86" si="14">D86&amp;" "&amp;E86&amp;" "&amp;F86&amp;" "&amp;G86&amp;" ("&amp;H86&amp;") "&amp;I86</f>
        <v>A81 SMH380 DP 2-4 SAT-SIT Formulier Aarder (1.1) 2020-11-20</v>
      </c>
      <c r="M86" s="58">
        <v>1295213</v>
      </c>
      <c r="N86" s="9" t="s">
        <v>59</v>
      </c>
      <c r="O86" s="9" t="s">
        <v>40</v>
      </c>
      <c r="P86" s="10"/>
      <c r="S86" s="6"/>
    </row>
    <row r="87" spans="3:19" ht="16.5" customHeight="1" x14ac:dyDescent="0.35">
      <c r="C87" s="50">
        <v>9</v>
      </c>
      <c r="D87" s="96" t="s">
        <v>630</v>
      </c>
      <c r="E87" s="4" t="s">
        <v>35</v>
      </c>
      <c r="F87" s="4" t="s">
        <v>36</v>
      </c>
      <c r="G87" s="117" t="s">
        <v>631</v>
      </c>
      <c r="H87" s="26" t="s">
        <v>48</v>
      </c>
      <c r="I87" s="21" t="s">
        <v>632</v>
      </c>
      <c r="J87" s="5" t="s">
        <v>14</v>
      </c>
      <c r="K87" s="68" t="str">
        <f t="shared" ref="K87" si="15">D87&amp;" "&amp;E87&amp;" "&amp;F87&amp;" "&amp;G87</f>
        <v>A82 SMH380 DP 2-4 SAT-SIT Formulier APA</v>
      </c>
      <c r="L87" s="68" t="str">
        <f t="shared" ref="L87" si="16">D87&amp;" "&amp;E87&amp;" "&amp;F87&amp;" "&amp;G87&amp;" ("&amp;H87&amp;") "&amp;I87</f>
        <v>A82 SMH380 DP 2-4 SAT-SIT Formulier APA (1.2) 2021-01-12</v>
      </c>
      <c r="M87" s="58">
        <v>1295214</v>
      </c>
      <c r="N87" s="9" t="s">
        <v>59</v>
      </c>
      <c r="O87" s="9" t="s">
        <v>40</v>
      </c>
      <c r="P87" s="10"/>
      <c r="S87" s="6"/>
    </row>
    <row r="88" spans="3:19" ht="16.5" customHeight="1" x14ac:dyDescent="0.35">
      <c r="C88" s="50">
        <v>9</v>
      </c>
      <c r="D88" s="96" t="s">
        <v>633</v>
      </c>
      <c r="E88" s="4" t="s">
        <v>35</v>
      </c>
      <c r="F88" s="4" t="s">
        <v>36</v>
      </c>
      <c r="G88" s="117" t="s">
        <v>634</v>
      </c>
      <c r="H88" s="26" t="s">
        <v>284</v>
      </c>
      <c r="I88" s="21" t="s">
        <v>635</v>
      </c>
      <c r="J88" s="5" t="s">
        <v>14</v>
      </c>
      <c r="K88" s="68" t="str">
        <f t="shared" ref="K88" si="17">D88&amp;" "&amp;E88&amp;" "&amp;F88&amp;" "&amp;G88</f>
        <v>A83 SMH380 DP 2-4 SAT-SIT Formulier Beveiliging</v>
      </c>
      <c r="L88" s="68" t="str">
        <f t="shared" ref="L88" si="18">D88&amp;" "&amp;E88&amp;" "&amp;F88&amp;" "&amp;G88&amp;" ("&amp;H88&amp;") "&amp;I88</f>
        <v>A83 SMH380 DP 2-4 SAT-SIT Formulier Beveiliging (1.3) 2021-01-18</v>
      </c>
      <c r="M88" s="58">
        <v>1295215</v>
      </c>
      <c r="N88" s="9" t="s">
        <v>59</v>
      </c>
      <c r="O88" s="9" t="s">
        <v>40</v>
      </c>
      <c r="P88" s="10"/>
      <c r="S88" s="6"/>
    </row>
    <row r="89" spans="3:19" ht="16.5" customHeight="1" x14ac:dyDescent="0.35">
      <c r="C89" s="50">
        <v>9</v>
      </c>
      <c r="D89" s="96" t="s">
        <v>636</v>
      </c>
      <c r="E89" s="4" t="s">
        <v>35</v>
      </c>
      <c r="F89" s="4" t="s">
        <v>36</v>
      </c>
      <c r="G89" s="117" t="s">
        <v>637</v>
      </c>
      <c r="H89" s="26" t="s">
        <v>43</v>
      </c>
      <c r="I89" s="21" t="s">
        <v>635</v>
      </c>
      <c r="J89" s="5" t="s">
        <v>14</v>
      </c>
      <c r="K89" s="68" t="str">
        <f t="shared" ref="K89" si="19">D89&amp;" "&amp;E89&amp;" "&amp;F89&amp;" "&amp;G89</f>
        <v>A84 SMH380 DP 2-4 SAT-SIT Formulier Doorvoering</v>
      </c>
      <c r="L89" s="68" t="str">
        <f t="shared" ref="L89" si="20">D89&amp;" "&amp;E89&amp;" "&amp;F89&amp;" "&amp;G89&amp;" ("&amp;H89&amp;") "&amp;I89</f>
        <v>A84 SMH380 DP 2-4 SAT-SIT Formulier Doorvoering (1.0) 2021-01-18</v>
      </c>
      <c r="M89" s="58">
        <v>1295216</v>
      </c>
      <c r="N89" s="9" t="s">
        <v>59</v>
      </c>
      <c r="O89" s="9" t="s">
        <v>40</v>
      </c>
      <c r="P89" s="10"/>
      <c r="S89" s="6"/>
    </row>
    <row r="90" spans="3:19" ht="16.5" customHeight="1" x14ac:dyDescent="0.35">
      <c r="C90" s="50">
        <v>9</v>
      </c>
      <c r="D90" s="96" t="s">
        <v>639</v>
      </c>
      <c r="E90" s="4" t="s">
        <v>35</v>
      </c>
      <c r="F90" s="4" t="s">
        <v>36</v>
      </c>
      <c r="G90" s="117" t="s">
        <v>638</v>
      </c>
      <c r="H90" s="26" t="s">
        <v>48</v>
      </c>
      <c r="I90" s="21" t="s">
        <v>635</v>
      </c>
      <c r="J90" s="5" t="s">
        <v>14</v>
      </c>
      <c r="K90" s="68" t="str">
        <f t="shared" ref="K90" si="21">D90&amp;" "&amp;E90&amp;" "&amp;F90&amp;" "&amp;G90</f>
        <v>A85 SMH380 DP 2-4 SAT-SIT Formulier Gelijkrichter</v>
      </c>
      <c r="L90" s="68" t="str">
        <f t="shared" ref="L90" si="22">D90&amp;" "&amp;E90&amp;" "&amp;F90&amp;" "&amp;G90&amp;" ("&amp;H90&amp;") "&amp;I90</f>
        <v>A85 SMH380 DP 2-4 SAT-SIT Formulier Gelijkrichter (1.2) 2021-01-18</v>
      </c>
      <c r="M90" s="58">
        <v>1295217</v>
      </c>
      <c r="N90" s="9" t="s">
        <v>59</v>
      </c>
      <c r="O90" s="9" t="s">
        <v>40</v>
      </c>
      <c r="P90" s="10"/>
      <c r="S90" s="6"/>
    </row>
    <row r="91" spans="3:19" ht="16.5" customHeight="1" x14ac:dyDescent="0.35">
      <c r="C91" s="50">
        <v>9</v>
      </c>
      <c r="D91" s="96" t="s">
        <v>640</v>
      </c>
      <c r="E91" s="4" t="s">
        <v>35</v>
      </c>
      <c r="F91" s="4" t="s">
        <v>36</v>
      </c>
      <c r="G91" s="117" t="s">
        <v>641</v>
      </c>
      <c r="H91" s="26" t="s">
        <v>20</v>
      </c>
      <c r="I91" s="21" t="s">
        <v>627</v>
      </c>
      <c r="J91" s="5" t="s">
        <v>14</v>
      </c>
      <c r="K91" s="68" t="str">
        <f t="shared" ref="K91" si="23">D91&amp;" "&amp;E91&amp;" "&amp;F91&amp;" "&amp;G91</f>
        <v>A86 SMH380 DP 2-4 SAT-SIT Formulier Instrumentatie transformator</v>
      </c>
      <c r="L91" s="68" t="str">
        <f t="shared" ref="L91" si="24">D91&amp;" "&amp;E91&amp;" "&amp;F91&amp;" "&amp;G91&amp;" ("&amp;H91&amp;") "&amp;I91</f>
        <v>A86 SMH380 DP 2-4 SAT-SIT Formulier Instrumentatie transformator (1.1) 2020-11-20</v>
      </c>
      <c r="M91" s="58">
        <v>1295218</v>
      </c>
      <c r="N91" s="9" t="s">
        <v>59</v>
      </c>
      <c r="O91" s="9" t="s">
        <v>40</v>
      </c>
      <c r="P91" s="10"/>
      <c r="S91" s="6"/>
    </row>
    <row r="92" spans="3:19" ht="16.5" customHeight="1" x14ac:dyDescent="0.35">
      <c r="C92" s="50">
        <v>9</v>
      </c>
      <c r="D92" s="96" t="s">
        <v>642</v>
      </c>
      <c r="E92" s="4" t="s">
        <v>35</v>
      </c>
      <c r="F92" s="4" t="s">
        <v>36</v>
      </c>
      <c r="G92" s="117" t="s">
        <v>643</v>
      </c>
      <c r="H92" s="26" t="s">
        <v>20</v>
      </c>
      <c r="I92" s="21" t="s">
        <v>635</v>
      </c>
      <c r="J92" s="5" t="s">
        <v>14</v>
      </c>
      <c r="K92" s="68" t="str">
        <f t="shared" ref="K92" si="25">D92&amp;" "&amp;E92&amp;" "&amp;F92&amp;" "&amp;G92</f>
        <v>A87 SMH380 DP 2-4 SAT-SIT Formulier Noodstroom Aggregaat (NSA)</v>
      </c>
      <c r="L92" s="68" t="str">
        <f t="shared" ref="L92" si="26">D92&amp;" "&amp;E92&amp;" "&amp;F92&amp;" "&amp;G92&amp;" ("&amp;H92&amp;") "&amp;I92</f>
        <v>A87 SMH380 DP 2-4 SAT-SIT Formulier Noodstroom Aggregaat (NSA) (1.1) 2021-01-18</v>
      </c>
      <c r="M92" s="58">
        <v>1295219</v>
      </c>
      <c r="N92" s="9" t="s">
        <v>59</v>
      </c>
      <c r="O92" s="9" t="s">
        <v>40</v>
      </c>
      <c r="P92" s="10"/>
      <c r="S92" s="6"/>
    </row>
    <row r="93" spans="3:19" ht="16.5" customHeight="1" x14ac:dyDescent="0.35">
      <c r="C93" s="50">
        <v>9</v>
      </c>
      <c r="D93" s="96" t="s">
        <v>644</v>
      </c>
      <c r="E93" s="4" t="s">
        <v>35</v>
      </c>
      <c r="F93" s="4" t="s">
        <v>36</v>
      </c>
      <c r="G93" s="117" t="s">
        <v>645</v>
      </c>
      <c r="H93" s="26" t="s">
        <v>284</v>
      </c>
      <c r="I93" s="21" t="s">
        <v>635</v>
      </c>
      <c r="J93" s="5" t="s">
        <v>14</v>
      </c>
      <c r="K93" s="68" t="str">
        <f t="shared" ref="K93" si="27">D93&amp;" "&amp;E93&amp;" "&amp;F93&amp;" "&amp;G93</f>
        <v>A88 SMH380 DP 2-4 SAT-SIT Formulier Railbeveiliging</v>
      </c>
      <c r="L93" s="68" t="str">
        <f t="shared" ref="L93" si="28">D93&amp;" "&amp;E93&amp;" "&amp;F93&amp;" "&amp;G93&amp;" ("&amp;H93&amp;") "&amp;I93</f>
        <v>A88 SMH380 DP 2-4 SAT-SIT Formulier Railbeveiliging (1.3) 2021-01-18</v>
      </c>
      <c r="M93" s="58">
        <v>1295220</v>
      </c>
      <c r="N93" s="9" t="s">
        <v>59</v>
      </c>
      <c r="O93" s="9" t="s">
        <v>40</v>
      </c>
      <c r="P93" s="10"/>
      <c r="S93" s="6"/>
    </row>
    <row r="94" spans="3:19" ht="16.5" customHeight="1" x14ac:dyDescent="0.35">
      <c r="C94" s="50">
        <v>9</v>
      </c>
      <c r="D94" s="96" t="s">
        <v>646</v>
      </c>
      <c r="E94" s="4" t="s">
        <v>35</v>
      </c>
      <c r="F94" s="4" t="s">
        <v>36</v>
      </c>
      <c r="G94" s="117" t="s">
        <v>647</v>
      </c>
      <c r="H94" s="26" t="s">
        <v>20</v>
      </c>
      <c r="I94" s="21" t="s">
        <v>627</v>
      </c>
      <c r="J94" s="5" t="s">
        <v>14</v>
      </c>
      <c r="K94" s="68" t="str">
        <f t="shared" ref="K94" si="29">D94&amp;" "&amp;E94&amp;" "&amp;F94&amp;" "&amp;G94</f>
        <v>A89 SMH380 DP 2-4 SAT-SIT Formulier Scheider</v>
      </c>
      <c r="L94" s="68" t="str">
        <f t="shared" ref="L94" si="30">D94&amp;" "&amp;E94&amp;" "&amp;F94&amp;" "&amp;G94&amp;" ("&amp;H94&amp;") "&amp;I94</f>
        <v>A89 SMH380 DP 2-4 SAT-SIT Formulier Scheider (1.1) 2020-11-20</v>
      </c>
      <c r="M94" s="58">
        <v>1295221</v>
      </c>
      <c r="N94" s="9" t="s">
        <v>59</v>
      </c>
      <c r="O94" s="9" t="s">
        <v>40</v>
      </c>
      <c r="P94" s="10"/>
      <c r="S94" s="6"/>
    </row>
    <row r="95" spans="3:19" ht="16.5" customHeight="1" x14ac:dyDescent="0.35">
      <c r="C95" s="50"/>
      <c r="D95" s="96"/>
      <c r="E95" s="4"/>
      <c r="F95" s="4"/>
      <c r="G95" s="117"/>
      <c r="H95" s="26"/>
      <c r="I95" s="21"/>
      <c r="J95" s="5"/>
      <c r="K95" s="68"/>
      <c r="L95" s="68"/>
      <c r="M95" s="58"/>
      <c r="N95" s="9"/>
      <c r="O95" s="9"/>
      <c r="P95" s="10"/>
      <c r="S95" s="6"/>
    </row>
    <row r="96" spans="3:19" ht="16.5" customHeight="1" x14ac:dyDescent="0.35">
      <c r="C96" s="50">
        <v>9</v>
      </c>
      <c r="D96" s="96" t="s">
        <v>648</v>
      </c>
      <c r="E96" s="4" t="s">
        <v>35</v>
      </c>
      <c r="F96" s="4" t="s">
        <v>36</v>
      </c>
      <c r="G96" s="117" t="s">
        <v>649</v>
      </c>
      <c r="H96" s="26" t="s">
        <v>20</v>
      </c>
      <c r="I96" s="21" t="s">
        <v>635</v>
      </c>
      <c r="J96" s="5" t="s">
        <v>14</v>
      </c>
      <c r="K96" s="68" t="str">
        <f t="shared" ref="K96" si="31">D96&amp;" "&amp;E96&amp;" "&amp;F96&amp;" "&amp;G96</f>
        <v>A90 SMH380 DP 2-4 SAT-SIT Formulier Secundaire Installatie</v>
      </c>
      <c r="L96" s="68" t="str">
        <f t="shared" ref="L96" si="32">D96&amp;" "&amp;E96&amp;" "&amp;F96&amp;" "&amp;G96&amp;" ("&amp;H96&amp;") "&amp;I96</f>
        <v>A90 SMH380 DP 2-4 SAT-SIT Formulier Secundaire Installatie (1.1) 2021-01-18</v>
      </c>
      <c r="M96" s="58">
        <v>1295222</v>
      </c>
      <c r="N96" s="9" t="s">
        <v>59</v>
      </c>
      <c r="O96" s="9" t="s">
        <v>40</v>
      </c>
      <c r="P96" s="10"/>
      <c r="S96" s="6"/>
    </row>
    <row r="97" spans="3:19" ht="16.5" customHeight="1" x14ac:dyDescent="0.35">
      <c r="C97" s="50">
        <v>9</v>
      </c>
      <c r="D97" s="96" t="s">
        <v>654</v>
      </c>
      <c r="E97" s="4" t="s">
        <v>35</v>
      </c>
      <c r="F97" s="4" t="s">
        <v>36</v>
      </c>
      <c r="G97" s="117" t="s">
        <v>650</v>
      </c>
      <c r="H97" s="26" t="s">
        <v>651</v>
      </c>
      <c r="I97" s="21" t="s">
        <v>652</v>
      </c>
      <c r="J97" s="5" t="s">
        <v>14</v>
      </c>
      <c r="K97" s="68" t="str">
        <f t="shared" ref="K97" si="33">D97&amp;" "&amp;E97&amp;" "&amp;F97&amp;" "&amp;G97</f>
        <v>A91 SMH380 DP 2-4 SAT-SIT Formulier Spanningsdeler en PQ-Meting</v>
      </c>
      <c r="L97" s="68" t="str">
        <f t="shared" ref="L97" si="34">D97&amp;" "&amp;E97&amp;" "&amp;F97&amp;" "&amp;G97&amp;" ("&amp;H97&amp;") "&amp;I97</f>
        <v>A91 SMH380 DP 2-4 SAT-SIT Formulier Spanningsdeler en PQ-Meting (0.2) 2020-12-17</v>
      </c>
      <c r="M97" s="58">
        <v>1295223</v>
      </c>
      <c r="N97" s="9" t="s">
        <v>59</v>
      </c>
      <c r="O97" s="9" t="s">
        <v>40</v>
      </c>
      <c r="P97" s="10"/>
      <c r="S97" s="6"/>
    </row>
    <row r="98" spans="3:19" ht="16.5" customHeight="1" x14ac:dyDescent="0.35">
      <c r="C98" s="50">
        <v>9</v>
      </c>
      <c r="D98" s="96" t="s">
        <v>655</v>
      </c>
      <c r="E98" s="4" t="s">
        <v>35</v>
      </c>
      <c r="F98" s="4" t="s">
        <v>36</v>
      </c>
      <c r="G98" s="117" t="s">
        <v>653</v>
      </c>
      <c r="H98" s="26" t="s">
        <v>48</v>
      </c>
      <c r="I98" s="21" t="s">
        <v>635</v>
      </c>
      <c r="J98" s="5" t="s">
        <v>14</v>
      </c>
      <c r="K98" s="68" t="str">
        <f t="shared" ref="K98" si="35">D98&amp;" "&amp;E98&amp;" "&amp;F98&amp;" "&amp;G98</f>
        <v>A92 SMH380 DP 2-4 SAT-SIT Formulier Storingsregistratie</v>
      </c>
      <c r="L98" s="68" t="str">
        <f t="shared" ref="L98" si="36">D98&amp;" "&amp;E98&amp;" "&amp;F98&amp;" "&amp;G98&amp;" ("&amp;H98&amp;") "&amp;I98</f>
        <v>A92 SMH380 DP 2-4 SAT-SIT Formulier Storingsregistratie (1.2) 2021-01-18</v>
      </c>
      <c r="M98" s="58">
        <v>1295224</v>
      </c>
      <c r="N98" s="9" t="s">
        <v>59</v>
      </c>
      <c r="O98" s="9" t="s">
        <v>40</v>
      </c>
      <c r="P98" s="10"/>
      <c r="S98" s="6"/>
    </row>
    <row r="99" spans="3:19" ht="16.5" customHeight="1" x14ac:dyDescent="0.35">
      <c r="C99" s="50">
        <v>9</v>
      </c>
      <c r="D99" s="96" t="s">
        <v>658</v>
      </c>
      <c r="E99" s="4" t="s">
        <v>35</v>
      </c>
      <c r="F99" s="4" t="s">
        <v>36</v>
      </c>
      <c r="G99" s="117" t="s">
        <v>656</v>
      </c>
      <c r="H99" s="26" t="s">
        <v>48</v>
      </c>
      <c r="I99" s="21" t="s">
        <v>657</v>
      </c>
      <c r="J99" s="5" t="s">
        <v>14</v>
      </c>
      <c r="K99" s="68" t="str">
        <f t="shared" ref="K99" si="37">D99&amp;" "&amp;E99&amp;" "&amp;F99&amp;" "&amp;G99</f>
        <v>A93 SMH380 DP 2-4 SAT-SIT Formulier VBS</v>
      </c>
      <c r="L99" s="68" t="str">
        <f t="shared" ref="L99" si="38">D99&amp;" "&amp;E99&amp;" "&amp;F99&amp;" "&amp;G99&amp;" ("&amp;H99&amp;") "&amp;I99</f>
        <v>A93 SMH380 DP 2-4 SAT-SIT Formulier VBS (1.2) 2022-12-05</v>
      </c>
      <c r="M99" s="58">
        <v>1295225</v>
      </c>
      <c r="N99" s="9" t="s">
        <v>59</v>
      </c>
      <c r="O99" s="9" t="s">
        <v>40</v>
      </c>
      <c r="P99" s="10"/>
      <c r="S99" s="6"/>
    </row>
    <row r="100" spans="3:19" ht="16.5" customHeight="1" x14ac:dyDescent="0.35">
      <c r="C100" s="50">
        <v>9</v>
      </c>
      <c r="D100" s="96" t="s">
        <v>661</v>
      </c>
      <c r="E100" s="4" t="s">
        <v>35</v>
      </c>
      <c r="F100" s="4" t="s">
        <v>36</v>
      </c>
      <c r="G100" s="117" t="s">
        <v>660</v>
      </c>
      <c r="H100" s="26" t="s">
        <v>43</v>
      </c>
      <c r="I100" s="21" t="s">
        <v>659</v>
      </c>
      <c r="J100" s="5" t="s">
        <v>14</v>
      </c>
      <c r="K100" s="68" t="str">
        <f t="shared" ref="K100" si="39">D100&amp;" "&amp;E100&amp;" "&amp;F100&amp;" "&amp;G100</f>
        <v>A94 SMH380 DP 2-4 SAT-SIT Formulier Verbinding Lijnen</v>
      </c>
      <c r="L100" s="68" t="str">
        <f t="shared" ref="L100" si="40">D100&amp;" "&amp;E100&amp;" "&amp;F100&amp;" "&amp;G100&amp;" ("&amp;H100&amp;") "&amp;I100</f>
        <v>A94 SMH380 DP 2-4 SAT-SIT Formulier Verbinding Lijnen (1.0) 2021-02-04</v>
      </c>
      <c r="M100" s="58">
        <v>1295226</v>
      </c>
      <c r="N100" s="9" t="s">
        <v>59</v>
      </c>
      <c r="O100" s="9" t="s">
        <v>40</v>
      </c>
      <c r="P100" s="10"/>
      <c r="S100" s="6"/>
    </row>
    <row r="101" spans="3:19" ht="16.5" customHeight="1" x14ac:dyDescent="0.35">
      <c r="C101" s="50">
        <v>9</v>
      </c>
      <c r="D101" s="96" t="s">
        <v>663</v>
      </c>
      <c r="E101" s="4" t="s">
        <v>35</v>
      </c>
      <c r="F101" s="4" t="s">
        <v>36</v>
      </c>
      <c r="G101" s="117" t="s">
        <v>662</v>
      </c>
      <c r="H101" s="26" t="s">
        <v>43</v>
      </c>
      <c r="I101" s="21" t="s">
        <v>635</v>
      </c>
      <c r="J101" s="5" t="s">
        <v>14</v>
      </c>
      <c r="K101" s="68" t="str">
        <f t="shared" ref="K101" si="41">D101&amp;" "&amp;E101&amp;" "&amp;F101&amp;" "&amp;G101</f>
        <v>A95 SMH380 DP 2-4 SAT-SIT Formulier Verbinding Kabels</v>
      </c>
      <c r="L101" s="68" t="str">
        <f t="shared" ref="L101" si="42">D101&amp;" "&amp;E101&amp;" "&amp;F101&amp;" "&amp;G101&amp;" ("&amp;H101&amp;") "&amp;I101</f>
        <v>A95 SMH380 DP 2-4 SAT-SIT Formulier Verbinding Kabels (1.0) 2021-01-18</v>
      </c>
      <c r="M101" s="58">
        <v>1295227</v>
      </c>
      <c r="N101" s="9" t="s">
        <v>59</v>
      </c>
      <c r="O101" s="9" t="s">
        <v>40</v>
      </c>
      <c r="P101" s="10"/>
      <c r="S101" s="6"/>
    </row>
    <row r="102" spans="3:19" ht="16.5" customHeight="1" x14ac:dyDescent="0.35">
      <c r="C102" s="50">
        <v>9</v>
      </c>
      <c r="D102" s="96" t="s">
        <v>666</v>
      </c>
      <c r="E102" s="4" t="s">
        <v>35</v>
      </c>
      <c r="F102" s="4" t="s">
        <v>36</v>
      </c>
      <c r="G102" s="117" t="s">
        <v>664</v>
      </c>
      <c r="H102" s="26" t="s">
        <v>48</v>
      </c>
      <c r="I102" s="21" t="s">
        <v>665</v>
      </c>
      <c r="J102" s="5" t="s">
        <v>14</v>
      </c>
      <c r="K102" s="68" t="str">
        <f t="shared" ref="K102" si="43">D102&amp;" "&amp;E102&amp;" "&amp;F102&amp;" "&amp;G102</f>
        <v>A96 SMH380 DP 2-4 SAT-SIT Formulier Vermogensschakelaar</v>
      </c>
      <c r="L102" s="68" t="str">
        <f t="shared" ref="L102" si="44">D102&amp;" "&amp;E102&amp;" "&amp;F102&amp;" "&amp;G102&amp;" ("&amp;H102&amp;") "&amp;I102</f>
        <v>A96 SMH380 DP 2-4 SAT-SIT Formulier Vermogensschakelaar (1.2) 2022-09-20</v>
      </c>
      <c r="M102" s="58">
        <v>1295228</v>
      </c>
      <c r="N102" s="9" t="s">
        <v>59</v>
      </c>
      <c r="O102" s="9" t="s">
        <v>40</v>
      </c>
      <c r="P102" s="10"/>
      <c r="S102" s="6"/>
    </row>
    <row r="103" spans="3:19" ht="16.5" customHeight="1" x14ac:dyDescent="0.35">
      <c r="C103" s="50">
        <v>9</v>
      </c>
      <c r="D103" s="96" t="s">
        <v>668</v>
      </c>
      <c r="E103" s="4" t="s">
        <v>35</v>
      </c>
      <c r="F103" s="4" t="s">
        <v>36</v>
      </c>
      <c r="G103" s="117" t="s">
        <v>670</v>
      </c>
      <c r="H103" s="26" t="s">
        <v>20</v>
      </c>
      <c r="I103" s="21" t="s">
        <v>667</v>
      </c>
      <c r="J103" s="5" t="s">
        <v>14</v>
      </c>
      <c r="K103" s="68" t="str">
        <f>D103&amp;" "&amp;E103&amp;" "&amp;F103&amp;" "&amp;G103</f>
        <v>A97 SMH380 DP 2-4 SAT-SIT Formulier Vermogenstransformator</v>
      </c>
      <c r="L103" s="68" t="str">
        <f t="shared" ref="L103:L105" si="45">D103&amp;" "&amp;E103&amp;" "&amp;F103&amp;" "&amp;G103&amp;" ("&amp;H103&amp;") "&amp;I103</f>
        <v>A97 SMH380 DP 2-4 SAT-SIT Formulier Vermogenstransformator (1.1) 2023-04-03</v>
      </c>
      <c r="M103" s="58">
        <v>1295229</v>
      </c>
      <c r="N103" s="9" t="s">
        <v>59</v>
      </c>
      <c r="O103" s="9" t="s">
        <v>40</v>
      </c>
      <c r="P103" s="10"/>
      <c r="S103" s="6"/>
    </row>
    <row r="104" spans="3:19" ht="16.5" customHeight="1" x14ac:dyDescent="0.35">
      <c r="C104" s="50">
        <v>9</v>
      </c>
      <c r="D104" s="96" t="s">
        <v>671</v>
      </c>
      <c r="E104" s="4" t="s">
        <v>35</v>
      </c>
      <c r="F104" s="4" t="s">
        <v>36</v>
      </c>
      <c r="G104" s="117" t="s">
        <v>673</v>
      </c>
      <c r="H104" s="26" t="s">
        <v>43</v>
      </c>
      <c r="I104" s="21" t="s">
        <v>74</v>
      </c>
      <c r="J104" s="5" t="s">
        <v>14</v>
      </c>
      <c r="K104" s="68" t="str">
        <f t="shared" ref="K104:K105" si="46">D104&amp;" "&amp;E104&amp;" "&amp;F104&amp;" "&amp;G104</f>
        <v>A98 SMH380 DP 2-4 Corona Testing of AIS Substations</v>
      </c>
      <c r="L104" s="68" t="str">
        <f t="shared" si="45"/>
        <v>A98 SMH380 DP 2-4 Corona Testing of AIS Substations (1.0) 2022-07-08</v>
      </c>
      <c r="M104" s="9">
        <v>1294799</v>
      </c>
      <c r="N104" s="9" t="s">
        <v>59</v>
      </c>
      <c r="O104" s="9" t="s">
        <v>40</v>
      </c>
      <c r="P104" s="10"/>
      <c r="S104" s="6"/>
    </row>
    <row r="105" spans="3:19" ht="16.5" customHeight="1" x14ac:dyDescent="0.35">
      <c r="C105" s="50">
        <v>9</v>
      </c>
      <c r="D105" s="96" t="s">
        <v>672</v>
      </c>
      <c r="E105" s="4" t="s">
        <v>35</v>
      </c>
      <c r="F105" s="4" t="s">
        <v>36</v>
      </c>
      <c r="G105" s="117" t="s">
        <v>674</v>
      </c>
      <c r="H105" s="26" t="s">
        <v>681</v>
      </c>
      <c r="I105" s="21" t="s">
        <v>682</v>
      </c>
      <c r="J105" s="5" t="s">
        <v>14</v>
      </c>
      <c r="K105" s="68" t="str">
        <f t="shared" si="46"/>
        <v>A99 SMH380 DP 2-4 TenneT Technische Onderhoudsrichtlijn (TOR)</v>
      </c>
      <c r="L105" s="68" t="str">
        <f t="shared" si="45"/>
        <v>A99 SMH380 DP 2-4 TenneT Technische Onderhoudsrichtlijn (TOR) (5.6) 2024-01-01</v>
      </c>
      <c r="M105" s="9">
        <v>1294800</v>
      </c>
      <c r="N105" s="9" t="s">
        <v>59</v>
      </c>
      <c r="O105" s="9" t="s">
        <v>40</v>
      </c>
      <c r="P105" s="10"/>
      <c r="S105" s="6"/>
    </row>
    <row r="106" spans="3:19" ht="16.5" customHeight="1" x14ac:dyDescent="0.35">
      <c r="C106" s="50"/>
      <c r="D106" s="96"/>
      <c r="E106" s="4"/>
      <c r="F106" s="4"/>
      <c r="G106" s="117"/>
      <c r="H106" s="26"/>
      <c r="I106" s="21"/>
      <c r="J106" s="5"/>
      <c r="K106" s="68"/>
      <c r="L106" s="68"/>
      <c r="M106" s="9"/>
      <c r="N106" s="9"/>
      <c r="O106" s="9"/>
      <c r="P106" s="10"/>
      <c r="S106" s="6"/>
    </row>
    <row r="107" spans="3:19" s="99" customFormat="1" ht="16.5" customHeight="1" x14ac:dyDescent="0.35">
      <c r="C107" s="54">
        <v>9</v>
      </c>
      <c r="D107" s="97" t="s">
        <v>676</v>
      </c>
      <c r="E107" s="55" t="s">
        <v>35</v>
      </c>
      <c r="F107" s="55" t="s">
        <v>36</v>
      </c>
      <c r="G107" s="132" t="s">
        <v>677</v>
      </c>
      <c r="H107" s="71" t="s">
        <v>48</v>
      </c>
      <c r="I107" s="72" t="s">
        <v>746</v>
      </c>
      <c r="J107" s="77" t="s">
        <v>14</v>
      </c>
      <c r="K107" s="69" t="str">
        <f>D107&amp;" "&amp;E107&amp;" "&amp;F107&amp;" "&amp;G107</f>
        <v>A100 SMH380 DP 2-4 Stop- en Bijwoonpunten</v>
      </c>
      <c r="L107" s="69" t="str">
        <f t="shared" ref="L107:L108" si="47">D107&amp;" "&amp;E107&amp;" "&amp;F107&amp;" "&amp;G107&amp;" ("&amp;H107&amp;") "&amp;I107</f>
        <v>A100 SMH380 DP 2-4 Stop- en Bijwoonpunten (1.2) 2024-10-31</v>
      </c>
      <c r="M107" s="58">
        <v>1295231</v>
      </c>
      <c r="N107" s="58" t="s">
        <v>678</v>
      </c>
      <c r="O107" s="58" t="s">
        <v>40</v>
      </c>
      <c r="P107" s="60"/>
      <c r="S107" s="73"/>
    </row>
    <row r="108" spans="3:19" ht="16.5" customHeight="1" x14ac:dyDescent="0.35">
      <c r="C108" s="50">
        <v>9</v>
      </c>
      <c r="D108" s="96" t="s">
        <v>703</v>
      </c>
      <c r="E108" s="4" t="s">
        <v>35</v>
      </c>
      <c r="F108" s="4" t="s">
        <v>36</v>
      </c>
      <c r="G108" s="117" t="s">
        <v>704</v>
      </c>
      <c r="H108" s="26" t="s">
        <v>43</v>
      </c>
      <c r="I108" s="21" t="s">
        <v>705</v>
      </c>
      <c r="J108" s="5" t="s">
        <v>14</v>
      </c>
      <c r="K108" s="68" t="str">
        <f t="shared" ref="K108" si="48">D108&amp;" "&amp;E108&amp;" "&amp;F108&amp;" "&amp;G108</f>
        <v>A101 SMH380 DP 2-4 Deelproject 1 Decision Board Besluiten</v>
      </c>
      <c r="L108" s="68" t="str">
        <f t="shared" si="47"/>
        <v>A101 SMH380 DP 2-4 Deelproject 1 Decision Board Besluiten (1.0) 2024-07-03</v>
      </c>
      <c r="M108" s="9">
        <v>1363085</v>
      </c>
      <c r="N108" s="9" t="s">
        <v>706</v>
      </c>
      <c r="O108" s="9" t="s">
        <v>40</v>
      </c>
      <c r="P108" s="10"/>
      <c r="S108" s="6"/>
    </row>
    <row r="109" spans="3:19" ht="16.5" customHeight="1" x14ac:dyDescent="0.35">
      <c r="C109" s="50"/>
      <c r="D109" s="96"/>
      <c r="E109" s="4"/>
      <c r="F109" s="4"/>
      <c r="G109" s="7"/>
      <c r="H109" s="25"/>
      <c r="I109" s="21"/>
      <c r="J109" s="5"/>
      <c r="K109" s="68"/>
      <c r="L109" s="68"/>
      <c r="M109" s="9"/>
      <c r="N109" s="9"/>
      <c r="O109" s="9"/>
      <c r="P109" s="10"/>
      <c r="S109" s="6"/>
    </row>
    <row r="110" spans="3:19" ht="16.5" customHeight="1" x14ac:dyDescent="0.35">
      <c r="C110" s="50">
        <v>3</v>
      </c>
      <c r="D110" s="96" t="s">
        <v>202</v>
      </c>
      <c r="E110" s="4" t="s">
        <v>35</v>
      </c>
      <c r="F110" s="4" t="s">
        <v>36</v>
      </c>
      <c r="G110" s="31" t="s">
        <v>203</v>
      </c>
      <c r="H110" s="25" t="s">
        <v>43</v>
      </c>
      <c r="I110" s="24" t="s">
        <v>204</v>
      </c>
      <c r="J110" s="5" t="s">
        <v>14</v>
      </c>
      <c r="K110" s="68" t="str">
        <f t="shared" ref="K110:K147" si="49">D110&amp;" "&amp;E110&amp;" "&amp;F110&amp;" "&amp;G110</f>
        <v>P01 SMH380 DP 2-4 Single Line Diagram Existing situation</v>
      </c>
      <c r="L110" s="68" t="str">
        <f t="shared" ref="L110:L147" si="50">D110&amp;" "&amp;E110&amp;" "&amp;F110&amp;" "&amp;G110&amp;" ("&amp;H110&amp;") "&amp;I110</f>
        <v>P01 SMH380 DP 2-4 Single Line Diagram Existing situation (1.0) 2024-01-12</v>
      </c>
      <c r="M110" s="9">
        <v>1287551</v>
      </c>
      <c r="N110" s="9" t="s">
        <v>205</v>
      </c>
      <c r="O110" s="9" t="s">
        <v>75</v>
      </c>
      <c r="P110" s="10"/>
      <c r="S110" s="6"/>
    </row>
    <row r="111" spans="3:19" ht="16.5" customHeight="1" x14ac:dyDescent="0.35">
      <c r="C111" s="50">
        <v>3</v>
      </c>
      <c r="D111" s="96" t="s">
        <v>206</v>
      </c>
      <c r="E111" s="4" t="s">
        <v>35</v>
      </c>
      <c r="F111" s="4" t="s">
        <v>36</v>
      </c>
      <c r="G111" s="4" t="s">
        <v>207</v>
      </c>
      <c r="H111" s="25" t="s">
        <v>208</v>
      </c>
      <c r="I111" s="24" t="s">
        <v>209</v>
      </c>
      <c r="J111" s="5" t="s">
        <v>14</v>
      </c>
      <c r="K111" s="68" t="str">
        <f t="shared" si="49"/>
        <v>P02 SMH380 DP 2-4 Overview Drawing Existing Situation</v>
      </c>
      <c r="L111" s="68" t="str">
        <f t="shared" si="50"/>
        <v>P02 SMH380 DP 2-4 Overview Drawing Existing Situation (C) 2022-08-25</v>
      </c>
      <c r="M111" s="9">
        <v>1287552</v>
      </c>
      <c r="N111" s="25" t="s">
        <v>210</v>
      </c>
      <c r="O111" s="9" t="s">
        <v>75</v>
      </c>
      <c r="P111" s="10"/>
      <c r="S111" s="6"/>
    </row>
    <row r="112" spans="3:19" ht="16.5" customHeight="1" x14ac:dyDescent="0.35">
      <c r="C112" s="50">
        <v>3</v>
      </c>
      <c r="D112" s="96" t="s">
        <v>211</v>
      </c>
      <c r="E112" s="4" t="s">
        <v>35</v>
      </c>
      <c r="F112" s="4" t="s">
        <v>36</v>
      </c>
      <c r="G112" s="4" t="s">
        <v>212</v>
      </c>
      <c r="H112" s="25" t="s">
        <v>208</v>
      </c>
      <c r="I112" s="24" t="s">
        <v>209</v>
      </c>
      <c r="J112" s="5" t="s">
        <v>14</v>
      </c>
      <c r="K112" s="68" t="str">
        <f t="shared" si="49"/>
        <v>P03 SMH380 DP 2-4 Side and Top view Branch 1 Existing</v>
      </c>
      <c r="L112" s="68" t="str">
        <f t="shared" si="50"/>
        <v>P03 SMH380 DP 2-4 Side and Top view Branch 1 Existing (C) 2022-08-25</v>
      </c>
      <c r="M112" s="9">
        <v>1287553</v>
      </c>
      <c r="N112" s="25" t="s">
        <v>213</v>
      </c>
      <c r="O112" s="9" t="s">
        <v>75</v>
      </c>
      <c r="P112" s="10"/>
      <c r="S112" s="6"/>
    </row>
    <row r="113" spans="2:19" ht="16.5" customHeight="1" x14ac:dyDescent="0.35">
      <c r="C113" s="50">
        <v>3</v>
      </c>
      <c r="D113" s="96" t="s">
        <v>214</v>
      </c>
      <c r="E113" s="4" t="s">
        <v>35</v>
      </c>
      <c r="F113" s="4" t="s">
        <v>36</v>
      </c>
      <c r="G113" s="4" t="s">
        <v>215</v>
      </c>
      <c r="H113" s="25" t="s">
        <v>208</v>
      </c>
      <c r="I113" s="24" t="s">
        <v>209</v>
      </c>
      <c r="J113" s="5" t="s">
        <v>14</v>
      </c>
      <c r="K113" s="68" t="str">
        <f t="shared" si="49"/>
        <v>P04 SMH380 DP 2-4 Side and Top view Branch 2 Existing</v>
      </c>
      <c r="L113" s="68" t="str">
        <f t="shared" si="50"/>
        <v>P04 SMH380 DP 2-4 Side and Top view Branch 2 Existing (C) 2022-08-25</v>
      </c>
      <c r="M113" s="9">
        <v>1287554</v>
      </c>
      <c r="N113" s="25" t="s">
        <v>216</v>
      </c>
      <c r="O113" s="9" t="s">
        <v>75</v>
      </c>
      <c r="P113" s="10"/>
      <c r="S113" s="6"/>
    </row>
    <row r="114" spans="2:19" ht="16.5" customHeight="1" x14ac:dyDescent="0.35">
      <c r="C114" s="50">
        <v>3</v>
      </c>
      <c r="D114" s="96" t="s">
        <v>217</v>
      </c>
      <c r="E114" s="4" t="s">
        <v>35</v>
      </c>
      <c r="F114" s="4" t="s">
        <v>36</v>
      </c>
      <c r="G114" s="4" t="s">
        <v>218</v>
      </c>
      <c r="H114" s="25" t="s">
        <v>219</v>
      </c>
      <c r="I114" s="24" t="s">
        <v>220</v>
      </c>
      <c r="J114" s="5" t="s">
        <v>14</v>
      </c>
      <c r="K114" s="68" t="str">
        <f t="shared" si="49"/>
        <v>P05 SMH380 DP 2-4 Side and Top view Branch 3 Existing</v>
      </c>
      <c r="L114" s="68" t="str">
        <f t="shared" si="50"/>
        <v>P05 SMH380 DP 2-4 Side and Top view Branch 3 Existing (A) 2008-01-28</v>
      </c>
      <c r="M114" s="9">
        <v>1287555</v>
      </c>
      <c r="N114" s="9" t="s">
        <v>221</v>
      </c>
      <c r="O114" s="9" t="s">
        <v>75</v>
      </c>
      <c r="P114" s="10"/>
      <c r="S114" s="6"/>
    </row>
    <row r="115" spans="2:19" ht="16.5" customHeight="1" x14ac:dyDescent="0.35">
      <c r="C115" s="50">
        <v>3</v>
      </c>
      <c r="D115" s="96" t="s">
        <v>222</v>
      </c>
      <c r="E115" s="4" t="s">
        <v>35</v>
      </c>
      <c r="F115" s="4" t="s">
        <v>36</v>
      </c>
      <c r="G115" s="4" t="s">
        <v>223</v>
      </c>
      <c r="H115" s="57" t="s">
        <v>219</v>
      </c>
      <c r="I115" s="24" t="s">
        <v>224</v>
      </c>
      <c r="J115" s="5" t="s">
        <v>14</v>
      </c>
      <c r="K115" s="68" t="str">
        <f t="shared" si="49"/>
        <v>P06 SMH380 DP 2-4 Side and Top View Rail A Existing</v>
      </c>
      <c r="L115" s="68" t="str">
        <f t="shared" si="50"/>
        <v>P06 SMH380 DP 2-4 Side and Top View Rail A Existing (A) 2009-11-11</v>
      </c>
      <c r="M115" s="9">
        <v>1287556</v>
      </c>
      <c r="N115" s="9" t="s">
        <v>225</v>
      </c>
      <c r="O115" s="9" t="s">
        <v>75</v>
      </c>
      <c r="P115" s="10"/>
      <c r="S115" s="6"/>
    </row>
    <row r="116" spans="2:19" ht="16.5" customHeight="1" x14ac:dyDescent="0.35">
      <c r="C116" s="50">
        <v>3</v>
      </c>
      <c r="D116" s="96" t="s">
        <v>226</v>
      </c>
      <c r="E116" s="4" t="s">
        <v>35</v>
      </c>
      <c r="F116" s="4" t="s">
        <v>36</v>
      </c>
      <c r="G116" s="4" t="s">
        <v>227</v>
      </c>
      <c r="H116" s="57" t="s">
        <v>219</v>
      </c>
      <c r="I116" s="24" t="s">
        <v>224</v>
      </c>
      <c r="J116" s="5" t="s">
        <v>14</v>
      </c>
      <c r="K116" s="68" t="str">
        <f t="shared" si="49"/>
        <v>P07 SMH380 DP 2-4 Side and Top View Rail B Existing</v>
      </c>
      <c r="L116" s="68" t="str">
        <f t="shared" si="50"/>
        <v>P07 SMH380 DP 2-4 Side and Top View Rail B Existing (A) 2009-11-11</v>
      </c>
      <c r="M116" s="9">
        <v>1287557</v>
      </c>
      <c r="N116" s="9" t="s">
        <v>228</v>
      </c>
      <c r="O116" s="9" t="s">
        <v>75</v>
      </c>
      <c r="P116" s="10"/>
      <c r="S116" s="6"/>
    </row>
    <row r="117" spans="2:19" ht="16.5" customHeight="1" x14ac:dyDescent="0.35">
      <c r="C117" s="50">
        <v>3</v>
      </c>
      <c r="D117" s="96" t="s">
        <v>229</v>
      </c>
      <c r="E117" s="4" t="s">
        <v>35</v>
      </c>
      <c r="F117" s="4" t="s">
        <v>36</v>
      </c>
      <c r="G117" s="4" t="s">
        <v>230</v>
      </c>
      <c r="H117" s="26" t="s">
        <v>57</v>
      </c>
      <c r="I117" s="24" t="s">
        <v>231</v>
      </c>
      <c r="J117" s="5" t="s">
        <v>14</v>
      </c>
      <c r="K117" s="68" t="str">
        <f t="shared" si="49"/>
        <v>P08 SMH380 DP 2-4 Existing Primary OGG Component Drawings</v>
      </c>
      <c r="L117" s="68" t="str">
        <f t="shared" si="50"/>
        <v>P08 SMH380 DP 2-4 Existing Primary OGG Component Drawings (-.-) 2023-09-22</v>
      </c>
      <c r="M117" s="9">
        <v>1287558</v>
      </c>
      <c r="N117" s="9" t="s">
        <v>232</v>
      </c>
      <c r="O117" s="9" t="s">
        <v>75</v>
      </c>
      <c r="P117" s="10"/>
      <c r="S117" s="6"/>
    </row>
    <row r="118" spans="2:19" ht="16.5" customHeight="1" x14ac:dyDescent="0.35">
      <c r="C118" s="50">
        <v>3</v>
      </c>
      <c r="D118" s="96" t="s">
        <v>233</v>
      </c>
      <c r="E118" s="4" t="s">
        <v>35</v>
      </c>
      <c r="F118" s="4" t="s">
        <v>36</v>
      </c>
      <c r="G118" s="4" t="s">
        <v>234</v>
      </c>
      <c r="H118" s="26" t="s">
        <v>57</v>
      </c>
      <c r="I118" s="24" t="s">
        <v>235</v>
      </c>
      <c r="J118" s="5" t="s">
        <v>14</v>
      </c>
      <c r="K118" s="68" t="str">
        <f t="shared" si="49"/>
        <v>P09 SMH380 DP 2-4 Existing Primary Component Steel Support Structures</v>
      </c>
      <c r="L118" s="68" t="str">
        <f t="shared" si="50"/>
        <v>P09 SMH380 DP 2-4 Existing Primary Component Steel Support Structures (-.-) 2010-03-24</v>
      </c>
      <c r="M118" s="9">
        <v>1287559</v>
      </c>
      <c r="N118" s="9" t="s">
        <v>232</v>
      </c>
      <c r="O118" s="9" t="s">
        <v>75</v>
      </c>
      <c r="P118" s="10"/>
      <c r="S118" s="6"/>
    </row>
    <row r="119" spans="2:19" ht="16.5" customHeight="1" x14ac:dyDescent="0.35">
      <c r="C119" s="50"/>
      <c r="D119" s="96"/>
      <c r="E119" s="4"/>
      <c r="F119" s="4"/>
      <c r="G119" s="4"/>
      <c r="H119" s="26"/>
      <c r="I119" s="24"/>
      <c r="J119" s="5"/>
      <c r="K119" s="68"/>
      <c r="L119" s="68"/>
      <c r="M119" s="9"/>
      <c r="N119" s="9"/>
      <c r="O119" s="9"/>
      <c r="P119" s="10"/>
      <c r="S119" s="6"/>
    </row>
    <row r="120" spans="2:19" ht="16.5" customHeight="1" x14ac:dyDescent="0.35">
      <c r="C120" s="50">
        <v>3</v>
      </c>
      <c r="D120" s="96" t="s">
        <v>236</v>
      </c>
      <c r="E120" s="4" t="s">
        <v>35</v>
      </c>
      <c r="F120" s="4" t="s">
        <v>36</v>
      </c>
      <c r="G120" s="31" t="s">
        <v>237</v>
      </c>
      <c r="H120" s="25" t="s">
        <v>238</v>
      </c>
      <c r="I120" s="24" t="s">
        <v>239</v>
      </c>
      <c r="J120" s="5" t="s">
        <v>14</v>
      </c>
      <c r="K120" s="68" t="str">
        <f t="shared" si="49"/>
        <v>P10 SMH380 DP 2-4 Existing Earthing Grid Drawing</v>
      </c>
      <c r="L120" s="68" t="str">
        <f t="shared" si="50"/>
        <v>P10 SMH380 DP 2-4 Existing Earthing Grid Drawing (D) 2010-04-12</v>
      </c>
      <c r="M120" s="9">
        <v>1287560</v>
      </c>
      <c r="N120" s="9" t="s">
        <v>232</v>
      </c>
      <c r="O120" s="9" t="s">
        <v>75</v>
      </c>
      <c r="P120" s="10"/>
      <c r="S120" s="6"/>
    </row>
    <row r="121" spans="2:19" ht="16.5" customHeight="1" x14ac:dyDescent="0.35">
      <c r="C121" s="50">
        <v>3</v>
      </c>
      <c r="D121" s="96" t="s">
        <v>240</v>
      </c>
      <c r="E121" s="4" t="s">
        <v>35</v>
      </c>
      <c r="F121" s="4" t="s">
        <v>36</v>
      </c>
      <c r="G121" s="31" t="s">
        <v>241</v>
      </c>
      <c r="H121" s="26" t="s">
        <v>43</v>
      </c>
      <c r="I121" s="24" t="s">
        <v>242</v>
      </c>
      <c r="J121" s="5" t="s">
        <v>14</v>
      </c>
      <c r="K121" s="68" t="str">
        <f t="shared" si="49"/>
        <v>P11 SMH380 DP 2-4 Existing Lightning Protection and Earthing calculation</v>
      </c>
      <c r="L121" s="68" t="str">
        <f t="shared" si="50"/>
        <v>P11 SMH380 DP 2-4 Existing Lightning Protection and Earthing calculation (1.0) 2008-01-30</v>
      </c>
      <c r="M121" s="9">
        <v>1287561</v>
      </c>
      <c r="N121" s="9" t="s">
        <v>243</v>
      </c>
      <c r="O121" s="9" t="s">
        <v>75</v>
      </c>
      <c r="P121" s="10"/>
      <c r="S121" s="6"/>
    </row>
    <row r="122" spans="2:19" ht="16.5" customHeight="1" x14ac:dyDescent="0.35">
      <c r="C122" s="50">
        <v>3</v>
      </c>
      <c r="D122" s="96" t="s">
        <v>244</v>
      </c>
      <c r="E122" s="4" t="s">
        <v>35</v>
      </c>
      <c r="F122" s="4" t="s">
        <v>36</v>
      </c>
      <c r="G122" s="31" t="s">
        <v>245</v>
      </c>
      <c r="H122" s="25" t="s">
        <v>219</v>
      </c>
      <c r="I122" s="24" t="s">
        <v>246</v>
      </c>
      <c r="J122" s="5" t="s">
        <v>14</v>
      </c>
      <c r="K122" s="68" t="str">
        <f t="shared" si="49"/>
        <v>P12 SMH380 DP 2-4 Existing Lightning Protection Drawing</v>
      </c>
      <c r="L122" s="68" t="str">
        <f t="shared" si="50"/>
        <v>P12 SMH380 DP 2-4 Existing Lightning Protection Drawing (A) 2007-11-09</v>
      </c>
      <c r="M122" s="9">
        <v>1287562</v>
      </c>
      <c r="N122" s="9" t="s">
        <v>247</v>
      </c>
      <c r="O122" s="9" t="s">
        <v>75</v>
      </c>
      <c r="P122" s="10"/>
      <c r="S122" s="6"/>
    </row>
    <row r="123" spans="2:19" ht="16.5" customHeight="1" x14ac:dyDescent="0.35">
      <c r="C123" s="50">
        <v>3</v>
      </c>
      <c r="D123" s="96" t="s">
        <v>248</v>
      </c>
      <c r="E123" s="4" t="s">
        <v>35</v>
      </c>
      <c r="F123" s="4" t="s">
        <v>36</v>
      </c>
      <c r="G123" s="4" t="s">
        <v>249</v>
      </c>
      <c r="H123" s="26" t="s">
        <v>43</v>
      </c>
      <c r="I123" s="24" t="s">
        <v>250</v>
      </c>
      <c r="J123" s="5" t="s">
        <v>14</v>
      </c>
      <c r="K123" s="68" t="str">
        <f t="shared" si="49"/>
        <v>P13 SMH380 DP 2-4 Single Line Diagram Station - Scope</v>
      </c>
      <c r="L123" s="68" t="str">
        <f t="shared" si="50"/>
        <v>P13 SMH380 DP 2-4 Single Line Diagram Station - Scope (1.0) 2024-01-17</v>
      </c>
      <c r="M123" s="9">
        <v>1287563</v>
      </c>
      <c r="N123" s="9" t="s">
        <v>251</v>
      </c>
      <c r="O123" s="9" t="s">
        <v>40</v>
      </c>
      <c r="P123" s="10"/>
      <c r="S123" s="6"/>
    </row>
    <row r="124" spans="2:19" ht="16.5" customHeight="1" x14ac:dyDescent="0.35">
      <c r="C124" s="50">
        <v>3</v>
      </c>
      <c r="D124" s="96" t="s">
        <v>252</v>
      </c>
      <c r="E124" s="4" t="s">
        <v>35</v>
      </c>
      <c r="F124" s="4" t="s">
        <v>36</v>
      </c>
      <c r="G124" s="4" t="s">
        <v>253</v>
      </c>
      <c r="H124" s="26" t="s">
        <v>43</v>
      </c>
      <c r="I124" s="24" t="s">
        <v>250</v>
      </c>
      <c r="J124" s="5" t="s">
        <v>14</v>
      </c>
      <c r="K124" s="68" t="str">
        <f t="shared" si="49"/>
        <v>P14 SMH380 DP 2-4 Single Line Diagram Station - Desired End Situation</v>
      </c>
      <c r="L124" s="68" t="str">
        <f t="shared" si="50"/>
        <v>P14 SMH380 DP 2-4 Single Line Diagram Station - Desired End Situation (1.0) 2024-01-17</v>
      </c>
      <c r="M124" s="9">
        <v>1287564</v>
      </c>
      <c r="N124" s="9" t="s">
        <v>254</v>
      </c>
      <c r="O124" s="9" t="s">
        <v>40</v>
      </c>
      <c r="P124" s="10"/>
      <c r="S124" s="6"/>
    </row>
    <row r="125" spans="2:19" s="120" customFormat="1" ht="16.5" customHeight="1" x14ac:dyDescent="0.35">
      <c r="B125" s="99"/>
      <c r="C125" s="54">
        <v>3</v>
      </c>
      <c r="D125" s="97" t="s">
        <v>255</v>
      </c>
      <c r="E125" s="55" t="s">
        <v>35</v>
      </c>
      <c r="F125" s="55" t="s">
        <v>36</v>
      </c>
      <c r="G125" s="55" t="s">
        <v>256</v>
      </c>
      <c r="H125" s="82" t="s">
        <v>48</v>
      </c>
      <c r="I125" s="133" t="s">
        <v>761</v>
      </c>
      <c r="J125" s="77" t="s">
        <v>14</v>
      </c>
      <c r="K125" s="69" t="str">
        <f t="shared" si="49"/>
        <v>P15 SMH380 DP 2-4 Top View SMH380 Desired Situation</v>
      </c>
      <c r="L125" s="69" t="str">
        <f t="shared" si="50"/>
        <v>P15 SMH380 DP 2-4 Top View SMH380 Desired Situation (1.2) 2024-07-25</v>
      </c>
      <c r="M125" s="58">
        <v>1287565</v>
      </c>
      <c r="N125" s="58" t="s">
        <v>257</v>
      </c>
      <c r="O125" s="58" t="s">
        <v>40</v>
      </c>
      <c r="P125" s="60"/>
      <c r="S125" s="81"/>
    </row>
    <row r="126" spans="2:19" s="99" customFormat="1" ht="16.5" customHeight="1" x14ac:dyDescent="0.35">
      <c r="B126" s="120">
        <v>3</v>
      </c>
      <c r="C126" s="54">
        <v>3</v>
      </c>
      <c r="D126" s="97" t="s">
        <v>255</v>
      </c>
      <c r="E126" s="55" t="s">
        <v>35</v>
      </c>
      <c r="F126" s="55" t="s">
        <v>36</v>
      </c>
      <c r="G126" s="55" t="s">
        <v>749</v>
      </c>
      <c r="H126" s="82" t="s">
        <v>48</v>
      </c>
      <c r="I126" s="133" t="s">
        <v>761</v>
      </c>
      <c r="J126" s="77" t="s">
        <v>14</v>
      </c>
      <c r="K126" s="69" t="str">
        <f t="shared" ref="K126" si="51">D126&amp;" "&amp;E126&amp;" "&amp;F126&amp;" "&amp;G126</f>
        <v>P15 SMH380 DP 2-4 Top View SMH380 Desired Situation dwg format</v>
      </c>
      <c r="L126" s="69" t="str">
        <f t="shared" ref="L126" si="52">D126&amp;" "&amp;E126&amp;" "&amp;F126&amp;" "&amp;G126&amp;" ("&amp;H126&amp;") "&amp;I126</f>
        <v>P15 SMH380 DP 2-4 Top View SMH380 Desired Situation dwg format (1.2) 2024-07-25</v>
      </c>
      <c r="M126" s="58">
        <v>1515416</v>
      </c>
      <c r="N126" s="58" t="s">
        <v>257</v>
      </c>
      <c r="O126" s="58" t="s">
        <v>40</v>
      </c>
      <c r="P126" s="60"/>
      <c r="S126" s="73"/>
    </row>
    <row r="127" spans="2:19" ht="16.5" customHeight="1" x14ac:dyDescent="0.35">
      <c r="B127" s="100"/>
      <c r="C127" s="50">
        <v>3</v>
      </c>
      <c r="D127" s="96" t="s">
        <v>258</v>
      </c>
      <c r="E127" s="4" t="s">
        <v>35</v>
      </c>
      <c r="F127" s="4" t="s">
        <v>36</v>
      </c>
      <c r="G127" s="4" t="s">
        <v>259</v>
      </c>
      <c r="H127" s="27" t="s">
        <v>48</v>
      </c>
      <c r="I127" s="24" t="s">
        <v>250</v>
      </c>
      <c r="J127" s="5" t="s">
        <v>14</v>
      </c>
      <c r="K127" s="68" t="str">
        <f t="shared" si="49"/>
        <v>P16 SMH380 DP 2-4 Side View Branch 1 Desired Situation</v>
      </c>
      <c r="L127" s="68" t="str">
        <f t="shared" si="50"/>
        <v>P16 SMH380 DP 2-4 Side View Branch 1 Desired Situation (1.2) 2024-01-17</v>
      </c>
      <c r="M127" s="9">
        <v>1287566</v>
      </c>
      <c r="N127" s="9" t="s">
        <v>260</v>
      </c>
      <c r="O127" s="9" t="s">
        <v>40</v>
      </c>
      <c r="P127" s="10"/>
      <c r="S127" s="6"/>
    </row>
    <row r="128" spans="2:19" ht="16.5" customHeight="1" x14ac:dyDescent="0.35">
      <c r="B128" s="100"/>
      <c r="C128" s="50">
        <v>3</v>
      </c>
      <c r="D128" s="96" t="s">
        <v>261</v>
      </c>
      <c r="E128" s="4" t="s">
        <v>35</v>
      </c>
      <c r="F128" s="4" t="s">
        <v>36</v>
      </c>
      <c r="G128" s="4" t="s">
        <v>262</v>
      </c>
      <c r="H128" s="27" t="s">
        <v>48</v>
      </c>
      <c r="I128" s="24" t="s">
        <v>250</v>
      </c>
      <c r="J128" s="5" t="s">
        <v>14</v>
      </c>
      <c r="K128" s="68" t="str">
        <f t="shared" si="49"/>
        <v>P17 SMH380 DP 2-4 Side View Branch 2 Desired Situation</v>
      </c>
      <c r="L128" s="68" t="str">
        <f t="shared" si="50"/>
        <v>P17 SMH380 DP 2-4 Side View Branch 2 Desired Situation (1.2) 2024-01-17</v>
      </c>
      <c r="M128" s="9">
        <v>1287567</v>
      </c>
      <c r="N128" s="9" t="s">
        <v>263</v>
      </c>
      <c r="O128" s="9" t="s">
        <v>40</v>
      </c>
      <c r="P128" s="10"/>
      <c r="S128" s="6"/>
    </row>
    <row r="129" spans="2:19" ht="16.5" customHeight="1" x14ac:dyDescent="0.35">
      <c r="B129" s="100"/>
      <c r="C129" s="50">
        <v>3</v>
      </c>
      <c r="D129" s="96" t="s">
        <v>264</v>
      </c>
      <c r="E129" s="4" t="s">
        <v>35</v>
      </c>
      <c r="F129" s="4" t="s">
        <v>36</v>
      </c>
      <c r="G129" s="4" t="s">
        <v>265</v>
      </c>
      <c r="H129" s="27" t="s">
        <v>48</v>
      </c>
      <c r="I129" s="24" t="s">
        <v>250</v>
      </c>
      <c r="J129" s="5" t="s">
        <v>14</v>
      </c>
      <c r="K129" s="68" t="str">
        <f t="shared" si="49"/>
        <v>P18 SMH380 DP 2-4 Top and Side View Branch 4 Desired Situation</v>
      </c>
      <c r="L129" s="68" t="str">
        <f t="shared" si="50"/>
        <v>P18 SMH380 DP 2-4 Top and Side View Branch 4 Desired Situation (1.2) 2024-01-17</v>
      </c>
      <c r="M129" s="9">
        <v>1287568</v>
      </c>
      <c r="N129" s="9" t="s">
        <v>266</v>
      </c>
      <c r="O129" s="9" t="s">
        <v>40</v>
      </c>
      <c r="P129" s="10"/>
      <c r="S129" s="6"/>
    </row>
    <row r="130" spans="2:19" ht="16.5" customHeight="1" x14ac:dyDescent="0.35">
      <c r="B130" s="100"/>
      <c r="C130" s="50">
        <v>3</v>
      </c>
      <c r="D130" s="96" t="s">
        <v>267</v>
      </c>
      <c r="E130" s="4" t="s">
        <v>35</v>
      </c>
      <c r="F130" s="4" t="s">
        <v>36</v>
      </c>
      <c r="G130" s="4" t="s">
        <v>268</v>
      </c>
      <c r="H130" s="27" t="s">
        <v>48</v>
      </c>
      <c r="I130" s="24" t="s">
        <v>250</v>
      </c>
      <c r="J130" s="5" t="s">
        <v>14</v>
      </c>
      <c r="K130" s="68" t="str">
        <f t="shared" si="49"/>
        <v>P19 SMH380 DP 2-4 Top and Side View Branch 5 Desired Situation</v>
      </c>
      <c r="L130" s="68" t="str">
        <f t="shared" si="50"/>
        <v>P19 SMH380 DP 2-4 Top and Side View Branch 5 Desired Situation (1.2) 2024-01-17</v>
      </c>
      <c r="M130" s="9">
        <v>1287569</v>
      </c>
      <c r="N130" s="9" t="s">
        <v>269</v>
      </c>
      <c r="O130" s="9" t="s">
        <v>40</v>
      </c>
      <c r="P130" s="10"/>
      <c r="S130" s="6"/>
    </row>
    <row r="131" spans="2:19" ht="16.5" customHeight="1" x14ac:dyDescent="0.35">
      <c r="B131" s="100"/>
      <c r="C131" s="50"/>
      <c r="D131" s="96"/>
      <c r="E131" s="4"/>
      <c r="F131" s="4"/>
      <c r="G131" s="4"/>
      <c r="H131" s="27"/>
      <c r="I131" s="24"/>
      <c r="J131" s="5"/>
      <c r="K131" s="68"/>
      <c r="L131" s="68"/>
      <c r="M131" s="9"/>
      <c r="N131" s="9"/>
      <c r="O131" s="9"/>
      <c r="P131" s="10"/>
      <c r="S131" s="6"/>
    </row>
    <row r="132" spans="2:19" ht="16.5" customHeight="1" x14ac:dyDescent="0.35">
      <c r="B132" s="100"/>
      <c r="C132" s="54">
        <v>3</v>
      </c>
      <c r="D132" s="96" t="s">
        <v>270</v>
      </c>
      <c r="E132" s="4" t="s">
        <v>35</v>
      </c>
      <c r="F132" s="4" t="s">
        <v>36</v>
      </c>
      <c r="G132" s="4" t="s">
        <v>271</v>
      </c>
      <c r="H132" s="27" t="s">
        <v>48</v>
      </c>
      <c r="I132" s="24" t="s">
        <v>675</v>
      </c>
      <c r="J132" s="5" t="s">
        <v>14</v>
      </c>
      <c r="K132" s="68" t="str">
        <f t="shared" si="49"/>
        <v>P20 SMH380 DP 2-4 Side View 380kV Rail A (Branch 4-5)</v>
      </c>
      <c r="L132" s="68" t="str">
        <f t="shared" si="50"/>
        <v>P20 SMH380 DP 2-4 Side View 380kV Rail A (Branch 4-5) (1.2) 2024-02-09</v>
      </c>
      <c r="M132" s="9">
        <v>1287570</v>
      </c>
      <c r="N132" s="9" t="s">
        <v>272</v>
      </c>
      <c r="O132" s="9" t="s">
        <v>40</v>
      </c>
      <c r="P132" s="10"/>
      <c r="S132" s="6"/>
    </row>
    <row r="133" spans="2:19" ht="16.5" customHeight="1" x14ac:dyDescent="0.35">
      <c r="B133" s="100"/>
      <c r="C133" s="54">
        <v>3</v>
      </c>
      <c r="D133" s="96" t="s">
        <v>273</v>
      </c>
      <c r="E133" s="4" t="s">
        <v>35</v>
      </c>
      <c r="F133" s="4" t="s">
        <v>36</v>
      </c>
      <c r="G133" s="4" t="s">
        <v>274</v>
      </c>
      <c r="H133" s="27" t="s">
        <v>48</v>
      </c>
      <c r="I133" s="24" t="s">
        <v>675</v>
      </c>
      <c r="J133" s="5" t="s">
        <v>14</v>
      </c>
      <c r="K133" s="68" t="str">
        <f t="shared" si="49"/>
        <v>P21 SMH380 DP 2-4 Side View 380kV Rail B (Branch 4-5)</v>
      </c>
      <c r="L133" s="68" t="str">
        <f t="shared" si="50"/>
        <v>P21 SMH380 DP 2-4 Side View 380kV Rail B (Branch 4-5) (1.2) 2024-02-09</v>
      </c>
      <c r="M133" s="9">
        <v>1287571</v>
      </c>
      <c r="N133" s="9" t="s">
        <v>275</v>
      </c>
      <c r="O133" s="9" t="s">
        <v>40</v>
      </c>
      <c r="P133" s="10"/>
      <c r="S133" s="6"/>
    </row>
    <row r="134" spans="2:19" ht="16.5" customHeight="1" x14ac:dyDescent="0.35">
      <c r="B134" s="100"/>
      <c r="C134" s="54">
        <v>3</v>
      </c>
      <c r="D134" s="96" t="s">
        <v>276</v>
      </c>
      <c r="E134" s="4" t="s">
        <v>35</v>
      </c>
      <c r="F134" s="4" t="s">
        <v>36</v>
      </c>
      <c r="G134" s="4" t="s">
        <v>277</v>
      </c>
      <c r="H134" s="27" t="s">
        <v>48</v>
      </c>
      <c r="I134" s="24" t="s">
        <v>675</v>
      </c>
      <c r="J134" s="5" t="s">
        <v>14</v>
      </c>
      <c r="K134" s="68" t="str">
        <f t="shared" si="49"/>
        <v>P22 SMH380 DP 2-4 Side View 380kV Rail A (Branch 1-3)</v>
      </c>
      <c r="L134" s="68" t="str">
        <f t="shared" si="50"/>
        <v>P22 SMH380 DP 2-4 Side View 380kV Rail A (Branch 1-3) (1.2) 2024-02-09</v>
      </c>
      <c r="M134" s="9">
        <v>1287572</v>
      </c>
      <c r="N134" s="9" t="s">
        <v>278</v>
      </c>
      <c r="O134" s="9" t="s">
        <v>40</v>
      </c>
      <c r="P134" s="10"/>
      <c r="S134" s="6"/>
    </row>
    <row r="135" spans="2:19" ht="16.5" customHeight="1" x14ac:dyDescent="0.35">
      <c r="B135" s="100"/>
      <c r="C135" s="54">
        <v>3</v>
      </c>
      <c r="D135" s="96" t="s">
        <v>279</v>
      </c>
      <c r="E135" s="4" t="s">
        <v>35</v>
      </c>
      <c r="F135" s="4" t="s">
        <v>36</v>
      </c>
      <c r="G135" s="4" t="s">
        <v>280</v>
      </c>
      <c r="H135" s="27" t="s">
        <v>48</v>
      </c>
      <c r="I135" s="24" t="s">
        <v>675</v>
      </c>
      <c r="J135" s="5" t="s">
        <v>14</v>
      </c>
      <c r="K135" s="68" t="str">
        <f t="shared" si="49"/>
        <v>P23 SMH380 DP 2-4 Side View 380kV Rail B (Branch 1-3)</v>
      </c>
      <c r="L135" s="68" t="str">
        <f t="shared" si="50"/>
        <v>P23 SMH380 DP 2-4 Side View 380kV Rail B (Branch 1-3) (1.2) 2024-02-09</v>
      </c>
      <c r="M135" s="9">
        <v>1287573</v>
      </c>
      <c r="N135" s="9" t="s">
        <v>281</v>
      </c>
      <c r="O135" s="9" t="s">
        <v>40</v>
      </c>
      <c r="P135" s="10"/>
      <c r="S135" s="6"/>
    </row>
    <row r="136" spans="2:19" ht="16.5" customHeight="1" x14ac:dyDescent="0.35">
      <c r="B136" s="100"/>
      <c r="C136" s="50">
        <v>3</v>
      </c>
      <c r="D136" s="96" t="s">
        <v>282</v>
      </c>
      <c r="E136" s="4" t="s">
        <v>35</v>
      </c>
      <c r="F136" s="4" t="s">
        <v>36</v>
      </c>
      <c r="G136" s="4" t="s">
        <v>283</v>
      </c>
      <c r="H136" s="67" t="s">
        <v>380</v>
      </c>
      <c r="I136" s="24" t="s">
        <v>675</v>
      </c>
      <c r="J136" s="5" t="s">
        <v>14</v>
      </c>
      <c r="K136" s="68" t="str">
        <f t="shared" si="49"/>
        <v>P24 SMH380 DP 2-4 Top and Side View 380_150kV Transformer Cell TR412</v>
      </c>
      <c r="L136" s="68" t="str">
        <f t="shared" si="50"/>
        <v>P24 SMH380 DP 2-4 Top and Side View 380_150kV Transformer Cell TR412 (1.4) 2024-02-09</v>
      </c>
      <c r="M136" s="9">
        <v>1287574</v>
      </c>
      <c r="N136" s="9" t="s">
        <v>285</v>
      </c>
      <c r="O136" s="9" t="s">
        <v>40</v>
      </c>
      <c r="P136" s="10"/>
      <c r="S136" s="6"/>
    </row>
    <row r="137" spans="2:19" ht="16.5" customHeight="1" x14ac:dyDescent="0.35">
      <c r="B137" s="100"/>
      <c r="C137" s="50">
        <v>3</v>
      </c>
      <c r="D137" s="96" t="s">
        <v>286</v>
      </c>
      <c r="E137" s="4" t="s">
        <v>35</v>
      </c>
      <c r="F137" s="4" t="s">
        <v>36</v>
      </c>
      <c r="G137" s="4" t="s">
        <v>287</v>
      </c>
      <c r="H137" s="67" t="s">
        <v>380</v>
      </c>
      <c r="I137" s="24" t="s">
        <v>675</v>
      </c>
      <c r="J137" s="5" t="s">
        <v>14</v>
      </c>
      <c r="K137" s="68" t="str">
        <f t="shared" si="49"/>
        <v>P25 SMH380 DP 2-4 Top and Side View 380_150kV Transformer Cell TR413 and TR414</v>
      </c>
      <c r="L137" s="68" t="str">
        <f t="shared" si="50"/>
        <v>P25 SMH380 DP 2-4 Top and Side View 380_150kV Transformer Cell TR413 and TR414 (1.4) 2024-02-09</v>
      </c>
      <c r="M137" s="9">
        <v>1287575</v>
      </c>
      <c r="N137" s="9" t="s">
        <v>288</v>
      </c>
      <c r="O137" s="9" t="s">
        <v>40</v>
      </c>
      <c r="P137" s="10"/>
      <c r="S137" s="6"/>
    </row>
    <row r="138" spans="2:19" ht="16.5" customHeight="1" x14ac:dyDescent="0.35">
      <c r="B138" s="100"/>
      <c r="C138" s="50">
        <v>3</v>
      </c>
      <c r="D138" s="96" t="s">
        <v>289</v>
      </c>
      <c r="E138" s="4" t="s">
        <v>35</v>
      </c>
      <c r="F138" s="4" t="s">
        <v>36</v>
      </c>
      <c r="G138" s="4" t="s">
        <v>290</v>
      </c>
      <c r="H138" s="67" t="s">
        <v>380</v>
      </c>
      <c r="I138" s="24" t="s">
        <v>675</v>
      </c>
      <c r="J138" s="5" t="s">
        <v>14</v>
      </c>
      <c r="K138" s="68" t="str">
        <f t="shared" si="49"/>
        <v>P26 SMH380 DP 2-4 Top and Side View 50kV Shunt Reactor Cell SP412</v>
      </c>
      <c r="L138" s="68" t="str">
        <f t="shared" si="50"/>
        <v>P26 SMH380 DP 2-4 Top and Side View 50kV Shunt Reactor Cell SP412 (1.4) 2024-02-09</v>
      </c>
      <c r="M138" s="9">
        <v>1287576</v>
      </c>
      <c r="N138" s="9" t="s">
        <v>291</v>
      </c>
      <c r="O138" s="9" t="s">
        <v>40</v>
      </c>
      <c r="P138" s="10"/>
      <c r="S138" s="6"/>
    </row>
    <row r="139" spans="2:19" ht="16.5" customHeight="1" x14ac:dyDescent="0.35">
      <c r="B139" s="100"/>
      <c r="C139" s="50">
        <v>3</v>
      </c>
      <c r="D139" s="96" t="s">
        <v>292</v>
      </c>
      <c r="E139" s="4" t="s">
        <v>35</v>
      </c>
      <c r="F139" s="4" t="s">
        <v>36</v>
      </c>
      <c r="G139" s="4" t="s">
        <v>293</v>
      </c>
      <c r="H139" s="67" t="s">
        <v>284</v>
      </c>
      <c r="I139" s="24" t="s">
        <v>675</v>
      </c>
      <c r="J139" s="5" t="s">
        <v>14</v>
      </c>
      <c r="K139" s="68" t="str">
        <f t="shared" si="49"/>
        <v>P27 SMH380 DP 2-4 Top and Side View 50kV Shunt Reactor Cell SP413 and SP414</v>
      </c>
      <c r="L139" s="68" t="str">
        <f t="shared" si="50"/>
        <v>P27 SMH380 DP 2-4 Top and Side View 50kV Shunt Reactor Cell SP413 and SP414 (1.3) 2024-02-09</v>
      </c>
      <c r="M139" s="9">
        <v>1287577</v>
      </c>
      <c r="N139" s="9" t="s">
        <v>294</v>
      </c>
      <c r="O139" s="9" t="s">
        <v>40</v>
      </c>
      <c r="P139" s="10"/>
      <c r="S139" s="6"/>
    </row>
    <row r="140" spans="2:19" ht="16.5" customHeight="1" x14ac:dyDescent="0.35">
      <c r="B140" s="100"/>
      <c r="C140" s="50">
        <v>3</v>
      </c>
      <c r="D140" s="96" t="s">
        <v>295</v>
      </c>
      <c r="E140" s="4" t="s">
        <v>35</v>
      </c>
      <c r="F140" s="4" t="s">
        <v>36</v>
      </c>
      <c r="G140" s="4" t="s">
        <v>296</v>
      </c>
      <c r="H140" s="67" t="s">
        <v>380</v>
      </c>
      <c r="I140" s="24" t="s">
        <v>675</v>
      </c>
      <c r="J140" s="5" t="s">
        <v>14</v>
      </c>
      <c r="K140" s="68" t="str">
        <f t="shared" si="49"/>
        <v>P28 SMH380 DP 2-4 Top and Side View 50kV Transformer Cell TR413 and TR414</v>
      </c>
      <c r="L140" s="68" t="str">
        <f t="shared" si="50"/>
        <v>P28 SMH380 DP 2-4 Top and Side View 50kV Transformer Cell TR413 and TR414 (1.4) 2024-02-09</v>
      </c>
      <c r="M140" s="9">
        <v>1287578</v>
      </c>
      <c r="N140" s="9" t="s">
        <v>297</v>
      </c>
      <c r="O140" s="9" t="s">
        <v>40</v>
      </c>
      <c r="P140" s="10"/>
      <c r="S140" s="6"/>
    </row>
    <row r="141" spans="2:19" ht="16.5" customHeight="1" x14ac:dyDescent="0.35">
      <c r="B141" s="100"/>
      <c r="C141" s="50">
        <v>3</v>
      </c>
      <c r="D141" s="96" t="s">
        <v>298</v>
      </c>
      <c r="E141" s="4" t="s">
        <v>35</v>
      </c>
      <c r="F141" s="4" t="s">
        <v>36</v>
      </c>
      <c r="G141" s="4" t="s">
        <v>299</v>
      </c>
      <c r="H141" s="25" t="s">
        <v>43</v>
      </c>
      <c r="I141" s="24" t="s">
        <v>300</v>
      </c>
      <c r="J141" s="5" t="s">
        <v>14</v>
      </c>
      <c r="K141" s="68" t="str">
        <f t="shared" si="49"/>
        <v>P29 SMH380 DP 2-4 Ontwerpbelastingen Hoofd- en Veld rails</v>
      </c>
      <c r="L141" s="68" t="str">
        <f t="shared" si="50"/>
        <v>P29 SMH380 DP 2-4 Ontwerpbelastingen Hoofd- en Veld rails (1.0) 2023-08-03</v>
      </c>
      <c r="M141" s="9">
        <v>1287579</v>
      </c>
      <c r="N141" s="9" t="s">
        <v>301</v>
      </c>
      <c r="O141" s="9" t="s">
        <v>75</v>
      </c>
      <c r="P141" s="10"/>
      <c r="S141" s="6"/>
    </row>
    <row r="142" spans="2:19" ht="16.5" customHeight="1" x14ac:dyDescent="0.35">
      <c r="B142" s="100"/>
      <c r="C142" s="50"/>
      <c r="D142" s="96"/>
      <c r="E142" s="4"/>
      <c r="F142" s="4"/>
      <c r="G142" s="4"/>
      <c r="H142" s="25"/>
      <c r="I142" s="24"/>
      <c r="J142" s="5"/>
      <c r="K142" s="68"/>
      <c r="L142" s="68"/>
      <c r="M142" s="9"/>
      <c r="N142" s="9"/>
      <c r="O142" s="9"/>
      <c r="P142" s="10"/>
      <c r="S142" s="6"/>
    </row>
    <row r="143" spans="2:19" ht="16.5" customHeight="1" x14ac:dyDescent="0.35">
      <c r="B143" s="100"/>
      <c r="C143" s="50">
        <v>3</v>
      </c>
      <c r="D143" s="96" t="s">
        <v>302</v>
      </c>
      <c r="E143" s="4" t="s">
        <v>35</v>
      </c>
      <c r="F143" s="4" t="s">
        <v>36</v>
      </c>
      <c r="G143" s="4" t="s">
        <v>303</v>
      </c>
      <c r="H143" s="25" t="s">
        <v>304</v>
      </c>
      <c r="I143" s="24" t="s">
        <v>66</v>
      </c>
      <c r="J143" s="5" t="s">
        <v>14</v>
      </c>
      <c r="K143" s="68" t="str">
        <f t="shared" si="49"/>
        <v>P30 SMH380 DP 2-4 Kortsluitstromen en Belastbaarheid</v>
      </c>
      <c r="L143" s="68" t="str">
        <f t="shared" si="50"/>
        <v>P30 SMH380 DP 2-4 Kortsluitstromen en Belastbaarheid (1.8) 2023-11-27</v>
      </c>
      <c r="M143" s="9">
        <v>1287580</v>
      </c>
      <c r="N143" s="9" t="s">
        <v>305</v>
      </c>
      <c r="O143" s="9" t="s">
        <v>75</v>
      </c>
      <c r="P143" s="10"/>
      <c r="S143" s="6"/>
    </row>
    <row r="144" spans="2:19" ht="16.5" customHeight="1" x14ac:dyDescent="0.35">
      <c r="B144" s="100"/>
      <c r="C144" s="50">
        <v>3</v>
      </c>
      <c r="D144" s="96" t="s">
        <v>306</v>
      </c>
      <c r="E144" s="4"/>
      <c r="F144" s="4"/>
      <c r="G144" s="4" t="s">
        <v>683</v>
      </c>
      <c r="H144" s="26"/>
      <c r="I144" s="24"/>
      <c r="J144" s="5"/>
      <c r="K144" s="68"/>
      <c r="L144" s="68"/>
      <c r="M144" s="9"/>
      <c r="N144" s="9"/>
      <c r="O144" s="9"/>
      <c r="P144" s="10"/>
      <c r="S144" s="6"/>
    </row>
    <row r="145" spans="2:19" ht="16.5" customHeight="1" x14ac:dyDescent="0.35">
      <c r="B145" s="100"/>
      <c r="C145" s="54">
        <v>3</v>
      </c>
      <c r="D145" s="96" t="s">
        <v>307</v>
      </c>
      <c r="E145" s="4" t="s">
        <v>35</v>
      </c>
      <c r="F145" s="4" t="s">
        <v>36</v>
      </c>
      <c r="G145" s="4" t="s">
        <v>308</v>
      </c>
      <c r="H145" s="25" t="s">
        <v>20</v>
      </c>
      <c r="I145" s="24" t="s">
        <v>675</v>
      </c>
      <c r="J145" s="5" t="s">
        <v>14</v>
      </c>
      <c r="K145" s="68" t="str">
        <f t="shared" si="49"/>
        <v>P32 SMH380 DP 2-4 OGG and Inventory List Primary</v>
      </c>
      <c r="L145" s="68" t="str">
        <f t="shared" si="50"/>
        <v>P32 SMH380 DP 2-4 OGG and Inventory List Primary (1.1) 2024-02-09</v>
      </c>
      <c r="M145" s="9">
        <v>1287582</v>
      </c>
      <c r="N145" s="9" t="s">
        <v>309</v>
      </c>
      <c r="O145" s="9" t="s">
        <v>40</v>
      </c>
      <c r="P145" s="10"/>
      <c r="S145" s="6"/>
    </row>
    <row r="146" spans="2:19" ht="16.5" customHeight="1" x14ac:dyDescent="0.35">
      <c r="B146" s="100"/>
      <c r="C146" s="50">
        <v>3</v>
      </c>
      <c r="D146" s="96" t="s">
        <v>310</v>
      </c>
      <c r="E146" s="4" t="s">
        <v>35</v>
      </c>
      <c r="F146" s="4" t="s">
        <v>36</v>
      </c>
      <c r="G146" s="4" t="s">
        <v>311</v>
      </c>
      <c r="H146" s="25" t="s">
        <v>312</v>
      </c>
      <c r="I146" s="24" t="s">
        <v>44</v>
      </c>
      <c r="J146" s="5" t="s">
        <v>14</v>
      </c>
      <c r="K146" s="68" t="str">
        <f t="shared" si="49"/>
        <v>P33 SMH380 DP 2-4 Phase Sequence Schematic</v>
      </c>
      <c r="L146" s="68" t="str">
        <f t="shared" si="50"/>
        <v>P33 SMH380 DP 2-4 Phase Sequence Schematic (1.5) 2024-01-16</v>
      </c>
      <c r="M146" s="9">
        <v>1287583</v>
      </c>
      <c r="N146" s="9" t="s">
        <v>313</v>
      </c>
      <c r="O146" s="9" t="s">
        <v>75</v>
      </c>
      <c r="P146" s="10"/>
      <c r="S146" s="6"/>
    </row>
    <row r="147" spans="2:19" ht="16.5" customHeight="1" x14ac:dyDescent="0.35">
      <c r="B147" s="100"/>
      <c r="C147" s="50">
        <v>3</v>
      </c>
      <c r="D147" s="96" t="s">
        <v>314</v>
      </c>
      <c r="E147" s="4" t="s">
        <v>35</v>
      </c>
      <c r="F147" s="4" t="s">
        <v>36</v>
      </c>
      <c r="G147" s="4" t="s">
        <v>315</v>
      </c>
      <c r="H147" s="25" t="s">
        <v>699</v>
      </c>
      <c r="I147" s="24" t="s">
        <v>700</v>
      </c>
      <c r="J147" s="5" t="s">
        <v>14</v>
      </c>
      <c r="K147" s="68" t="str">
        <f t="shared" si="49"/>
        <v>P34 SMH380 DP 2-4 Scopeafbakening Afspanportaal Simonshaven</v>
      </c>
      <c r="L147" s="68" t="str">
        <f t="shared" si="50"/>
        <v>P34 SMH380 DP 2-4 Scopeafbakening Afspanportaal Simonshaven (B) 2024-02-08</v>
      </c>
      <c r="M147" s="9">
        <v>1287584</v>
      </c>
      <c r="N147" s="9" t="s">
        <v>232</v>
      </c>
      <c r="O147" s="9" t="s">
        <v>40</v>
      </c>
      <c r="P147" s="10"/>
      <c r="S147" s="6"/>
    </row>
    <row r="148" spans="2:19" s="115" customFormat="1" ht="16.5" customHeight="1" x14ac:dyDescent="0.35">
      <c r="B148" s="100">
        <v>4</v>
      </c>
      <c r="C148" s="50">
        <v>3</v>
      </c>
      <c r="D148" s="96" t="s">
        <v>316</v>
      </c>
      <c r="E148" s="4" t="s">
        <v>35</v>
      </c>
      <c r="F148" s="4" t="s">
        <v>36</v>
      </c>
      <c r="G148" s="4" t="s">
        <v>317</v>
      </c>
      <c r="H148" s="25" t="s">
        <v>48</v>
      </c>
      <c r="I148" s="24" t="s">
        <v>743</v>
      </c>
      <c r="J148" s="5" t="s">
        <v>14</v>
      </c>
      <c r="K148" s="68" t="str">
        <f t="shared" ref="K148:K157" si="53">D148&amp;" "&amp;E148&amp;" "&amp;F148&amp;" "&amp;G148</f>
        <v>P35 SMH380 DP 2-4 Primair OGG - Trench 380 en 50kV Instrument Transformers</v>
      </c>
      <c r="L148" s="68" t="str">
        <f t="shared" ref="L148:L157" si="54">D148&amp;" "&amp;E148&amp;" "&amp;F148&amp;" "&amp;G148&amp;" ("&amp;H148&amp;") "&amp;I148</f>
        <v>P35 SMH380 DP 2-4 Primair OGG - Trench 380 en 50kV Instrument Transformers (1.2) 2025-01-20</v>
      </c>
      <c r="M148" s="9">
        <v>1287585</v>
      </c>
      <c r="N148" s="9" t="s">
        <v>232</v>
      </c>
      <c r="O148" s="9" t="s">
        <v>40</v>
      </c>
      <c r="P148" s="10"/>
      <c r="S148" s="92"/>
    </row>
    <row r="149" spans="2:19" ht="16.5" customHeight="1" x14ac:dyDescent="0.35">
      <c r="B149" s="100"/>
      <c r="C149" s="50">
        <v>3</v>
      </c>
      <c r="D149" s="96" t="s">
        <v>318</v>
      </c>
      <c r="E149" s="4" t="s">
        <v>35</v>
      </c>
      <c r="F149" s="4" t="s">
        <v>36</v>
      </c>
      <c r="G149" s="4" t="s">
        <v>319</v>
      </c>
      <c r="H149" s="25" t="s">
        <v>20</v>
      </c>
      <c r="I149" s="24" t="s">
        <v>701</v>
      </c>
      <c r="J149" s="5" t="s">
        <v>14</v>
      </c>
      <c r="K149" s="68" t="str">
        <f t="shared" si="53"/>
        <v>P36 SMH380 DP 2-4 Primair OGG - Koncar 50kV Instrument Transformers</v>
      </c>
      <c r="L149" s="68" t="str">
        <f t="shared" si="54"/>
        <v>P36 SMH380 DP 2-4 Primair OGG - Koncar 50kV Instrument Transformers (1.1) 2024-06-18</v>
      </c>
      <c r="M149" s="9">
        <v>1287586</v>
      </c>
      <c r="N149" s="9" t="s">
        <v>232</v>
      </c>
      <c r="O149" s="9" t="s">
        <v>40</v>
      </c>
      <c r="P149" s="10"/>
      <c r="S149" s="6"/>
    </row>
    <row r="150" spans="2:19" s="115" customFormat="1" ht="16.5" customHeight="1" x14ac:dyDescent="0.35">
      <c r="B150" s="100">
        <v>5</v>
      </c>
      <c r="C150" s="50">
        <v>3</v>
      </c>
      <c r="D150" s="96" t="s">
        <v>320</v>
      </c>
      <c r="E150" s="4" t="s">
        <v>35</v>
      </c>
      <c r="F150" s="4" t="s">
        <v>36</v>
      </c>
      <c r="G150" s="4" t="s">
        <v>321</v>
      </c>
      <c r="H150" s="25" t="s">
        <v>20</v>
      </c>
      <c r="I150" s="24" t="s">
        <v>743</v>
      </c>
      <c r="J150" s="5" t="s">
        <v>14</v>
      </c>
      <c r="K150" s="68" t="str">
        <f t="shared" si="53"/>
        <v>P37 SMH380 DP 2-4 Primair OGG - Siemens 380kV Circuit Breakers</v>
      </c>
      <c r="L150" s="68" t="str">
        <f t="shared" si="54"/>
        <v>P37 SMH380 DP 2-4 Primair OGG - Siemens 380kV Circuit Breakers (1.1) 2025-01-20</v>
      </c>
      <c r="M150" s="9">
        <v>1287587</v>
      </c>
      <c r="N150" s="9" t="s">
        <v>232</v>
      </c>
      <c r="O150" s="9" t="s">
        <v>40</v>
      </c>
      <c r="P150" s="10"/>
      <c r="S150" s="92"/>
    </row>
    <row r="151" spans="2:19" ht="16.5" customHeight="1" x14ac:dyDescent="0.35">
      <c r="B151" s="100"/>
      <c r="C151" s="50">
        <v>3</v>
      </c>
      <c r="D151" s="96" t="s">
        <v>322</v>
      </c>
      <c r="E151" s="4" t="s">
        <v>35</v>
      </c>
      <c r="F151" s="4" t="s">
        <v>36</v>
      </c>
      <c r="G151" s="4" t="s">
        <v>323</v>
      </c>
      <c r="H151" s="25" t="s">
        <v>20</v>
      </c>
      <c r="I151" s="24" t="s">
        <v>701</v>
      </c>
      <c r="J151" s="5" t="s">
        <v>14</v>
      </c>
      <c r="K151" s="68" t="str">
        <f t="shared" si="53"/>
        <v>P38 SMH380 DP 2-4 Primair OGG - Hitachi 50kV Circuit Breakers</v>
      </c>
      <c r="L151" s="68" t="str">
        <f t="shared" si="54"/>
        <v>P38 SMH380 DP 2-4 Primair OGG - Hitachi 50kV Circuit Breakers (1.1) 2024-06-18</v>
      </c>
      <c r="M151" s="9">
        <v>1287588</v>
      </c>
      <c r="N151" s="9" t="s">
        <v>232</v>
      </c>
      <c r="O151" s="9" t="s">
        <v>40</v>
      </c>
      <c r="P151" s="10"/>
      <c r="S151" s="6"/>
    </row>
    <row r="152" spans="2:19" s="115" customFormat="1" ht="16.5" customHeight="1" x14ac:dyDescent="0.35">
      <c r="B152" s="100">
        <v>6</v>
      </c>
      <c r="C152" s="50">
        <v>3</v>
      </c>
      <c r="D152" s="96" t="s">
        <v>324</v>
      </c>
      <c r="E152" s="4" t="s">
        <v>35</v>
      </c>
      <c r="F152" s="4" t="s">
        <v>36</v>
      </c>
      <c r="G152" s="4" t="s">
        <v>622</v>
      </c>
      <c r="H152" s="25" t="s">
        <v>48</v>
      </c>
      <c r="I152" s="24" t="s">
        <v>743</v>
      </c>
      <c r="J152" s="5" t="s">
        <v>14</v>
      </c>
      <c r="K152" s="68" t="str">
        <f t="shared" si="53"/>
        <v>P39 SMH380 DP 2-4 Primair OGG - GE Grid Solutions - 380kV Disconnector and Earthing Switches</v>
      </c>
      <c r="L152" s="68" t="str">
        <f t="shared" si="54"/>
        <v>P39 SMH380 DP 2-4 Primair OGG - GE Grid Solutions - 380kV Disconnector and Earthing Switches (1.2) 2025-01-20</v>
      </c>
      <c r="M152" s="9">
        <v>1287589</v>
      </c>
      <c r="N152" s="9" t="s">
        <v>232</v>
      </c>
      <c r="O152" s="9" t="s">
        <v>40</v>
      </c>
      <c r="P152" s="10"/>
      <c r="S152" s="92"/>
    </row>
    <row r="153" spans="2:19" s="115" customFormat="1" ht="16.5" customHeight="1" x14ac:dyDescent="0.35">
      <c r="B153" s="100"/>
      <c r="C153" s="50"/>
      <c r="D153" s="96"/>
      <c r="E153" s="4"/>
      <c r="F153" s="4"/>
      <c r="G153" s="4"/>
      <c r="H153" s="25"/>
      <c r="I153" s="24"/>
      <c r="J153" s="5"/>
      <c r="K153" s="68"/>
      <c r="L153" s="68"/>
      <c r="M153" s="9"/>
      <c r="N153" s="9"/>
      <c r="O153" s="9"/>
      <c r="P153" s="10"/>
      <c r="S153" s="92"/>
    </row>
    <row r="154" spans="2:19" s="115" customFormat="1" ht="16.5" customHeight="1" x14ac:dyDescent="0.35">
      <c r="B154" s="100">
        <v>7</v>
      </c>
      <c r="C154" s="50">
        <v>3</v>
      </c>
      <c r="D154" s="96" t="s">
        <v>325</v>
      </c>
      <c r="E154" s="4" t="s">
        <v>35</v>
      </c>
      <c r="F154" s="4" t="s">
        <v>36</v>
      </c>
      <c r="G154" s="4" t="s">
        <v>623</v>
      </c>
      <c r="H154" s="150" t="s">
        <v>284</v>
      </c>
      <c r="I154" s="151" t="s">
        <v>784</v>
      </c>
      <c r="J154" s="5" t="s">
        <v>14</v>
      </c>
      <c r="K154" s="70" t="str">
        <f t="shared" si="53"/>
        <v>P40 SMH380 DP 2-4 Primair OGG - HAPAM - 150 and 50kV Disconnector and Earthing Switches</v>
      </c>
      <c r="L154" s="70" t="str">
        <f t="shared" si="54"/>
        <v>P40 SMH380 DP 2-4 Primair OGG - HAPAM - 150 and 50kV Disconnector and Earthing Switches (1.3) 2025-03-28</v>
      </c>
      <c r="M154" s="9">
        <v>1287590</v>
      </c>
      <c r="N154" s="9" t="s">
        <v>232</v>
      </c>
      <c r="O154" s="9" t="s">
        <v>40</v>
      </c>
      <c r="P154" s="10"/>
      <c r="S154" s="92"/>
    </row>
    <row r="155" spans="2:19" s="115" customFormat="1" ht="16.5" customHeight="1" x14ac:dyDescent="0.35">
      <c r="B155" s="100">
        <v>8</v>
      </c>
      <c r="C155" s="50">
        <v>3</v>
      </c>
      <c r="D155" s="96" t="s">
        <v>326</v>
      </c>
      <c r="E155" s="4" t="s">
        <v>35</v>
      </c>
      <c r="F155" s="4" t="s">
        <v>36</v>
      </c>
      <c r="G155" s="4" t="s">
        <v>708</v>
      </c>
      <c r="H155" s="25" t="s">
        <v>48</v>
      </c>
      <c r="I155" s="24" t="s">
        <v>743</v>
      </c>
      <c r="J155" s="5" t="s">
        <v>14</v>
      </c>
      <c r="K155" s="68" t="str">
        <f t="shared" si="53"/>
        <v>P41 SMH380 DP 2-4 Primair OGG - Tridelta - 380-150-50kV Surge Arresters</v>
      </c>
      <c r="L155" s="68" t="str">
        <f t="shared" si="54"/>
        <v>P41 SMH380 DP 2-4 Primair OGG - Tridelta - 380-150-50kV Surge Arresters (1.2) 2025-01-20</v>
      </c>
      <c r="M155" s="9">
        <v>1287591</v>
      </c>
      <c r="N155" s="9" t="s">
        <v>232</v>
      </c>
      <c r="O155" s="9" t="s">
        <v>40</v>
      </c>
      <c r="P155" s="10"/>
      <c r="S155" s="92"/>
    </row>
    <row r="156" spans="2:19" s="115" customFormat="1" ht="16.5" customHeight="1" x14ac:dyDescent="0.35">
      <c r="B156" s="100">
        <v>9</v>
      </c>
      <c r="C156" s="50">
        <v>3</v>
      </c>
      <c r="D156" s="96" t="s">
        <v>327</v>
      </c>
      <c r="E156" s="4" t="s">
        <v>35</v>
      </c>
      <c r="F156" s="4" t="s">
        <v>36</v>
      </c>
      <c r="G156" s="4" t="s">
        <v>328</v>
      </c>
      <c r="H156" s="25" t="s">
        <v>20</v>
      </c>
      <c r="I156" s="24" t="s">
        <v>743</v>
      </c>
      <c r="J156" s="5" t="s">
        <v>14</v>
      </c>
      <c r="K156" s="68" t="str">
        <f t="shared" si="53"/>
        <v>P42 SMH380 DP 2-4 Primair OGG - Cerisol 380-150-50kV Insulators</v>
      </c>
      <c r="L156" s="68" t="str">
        <f t="shared" si="54"/>
        <v>P42 SMH380 DP 2-4 Primair OGG - Cerisol 380-150-50kV Insulators (1.1) 2025-01-20</v>
      </c>
      <c r="M156" s="9">
        <v>1287592</v>
      </c>
      <c r="N156" s="9" t="s">
        <v>232</v>
      </c>
      <c r="O156" s="9" t="s">
        <v>40</v>
      </c>
      <c r="P156" s="10"/>
      <c r="S156" s="92"/>
    </row>
    <row r="157" spans="2:19" s="115" customFormat="1" ht="16.399999999999999" customHeight="1" x14ac:dyDescent="0.35">
      <c r="B157" s="100">
        <v>10</v>
      </c>
      <c r="C157" s="50">
        <v>3</v>
      </c>
      <c r="D157" s="96" t="s">
        <v>329</v>
      </c>
      <c r="E157" s="4" t="s">
        <v>35</v>
      </c>
      <c r="F157" s="4" t="s">
        <v>36</v>
      </c>
      <c r="G157" s="4" t="s">
        <v>747</v>
      </c>
      <c r="H157" s="25" t="s">
        <v>48</v>
      </c>
      <c r="I157" s="24" t="s">
        <v>743</v>
      </c>
      <c r="J157" s="5" t="s">
        <v>14</v>
      </c>
      <c r="K157" s="68" t="str">
        <f t="shared" si="53"/>
        <v>P43 SMH380 DP 2-4 Primair OGG - STE Ring-core Current Transformer</v>
      </c>
      <c r="L157" s="68" t="str">
        <f t="shared" si="54"/>
        <v>P43 SMH380 DP 2-4 Primair OGG - STE Ring-core Current Transformer (1.2) 2025-01-20</v>
      </c>
      <c r="M157" s="9">
        <v>1287593</v>
      </c>
      <c r="N157" s="9" t="s">
        <v>232</v>
      </c>
      <c r="O157" s="9" t="s">
        <v>40</v>
      </c>
      <c r="P157" s="10"/>
      <c r="S157" s="92"/>
    </row>
    <row r="158" spans="2:19" s="121" customFormat="1" ht="16.5" customHeight="1" x14ac:dyDescent="0.35">
      <c r="B158" s="100"/>
      <c r="C158" s="134">
        <v>3</v>
      </c>
      <c r="D158" s="135" t="s">
        <v>330</v>
      </c>
      <c r="E158" s="136" t="s">
        <v>35</v>
      </c>
      <c r="F158" s="136" t="s">
        <v>36</v>
      </c>
      <c r="G158" s="136" t="s">
        <v>331</v>
      </c>
      <c r="H158" s="137" t="s">
        <v>43</v>
      </c>
      <c r="I158" s="138" t="s">
        <v>698</v>
      </c>
      <c r="J158" s="139" t="s">
        <v>14</v>
      </c>
      <c r="K158" s="140" t="str">
        <f t="shared" ref="K158:K166" si="55">D158&amp;" "&amp;E158&amp;" "&amp;F158&amp;" "&amp;G158</f>
        <v>P44 SMH380 DP 2-4 3D-Model Transformator</v>
      </c>
      <c r="L158" s="140" t="str">
        <f>D158&amp;" "&amp;E158&amp;" "&amp;F158&amp;" "&amp;G158&amp;" ("&amp;H158&amp;") "&amp;I158</f>
        <v>P44 SMH380 DP 2-4 3D-Model Transformator (1.0) 2024-02-16</v>
      </c>
      <c r="M158" s="141">
        <v>1287594</v>
      </c>
      <c r="N158" s="89" t="s">
        <v>332</v>
      </c>
      <c r="O158" s="89" t="s">
        <v>75</v>
      </c>
      <c r="P158" s="142" t="s">
        <v>757</v>
      </c>
      <c r="S158" s="76"/>
    </row>
    <row r="159" spans="2:19" s="121" customFormat="1" ht="16.5" customHeight="1" x14ac:dyDescent="0.35">
      <c r="B159" s="100"/>
      <c r="C159" s="134">
        <v>3</v>
      </c>
      <c r="D159" s="135" t="s">
        <v>333</v>
      </c>
      <c r="E159" s="136" t="s">
        <v>35</v>
      </c>
      <c r="F159" s="136" t="s">
        <v>36</v>
      </c>
      <c r="G159" s="136" t="s">
        <v>334</v>
      </c>
      <c r="H159" s="137" t="s">
        <v>43</v>
      </c>
      <c r="I159" s="138" t="s">
        <v>698</v>
      </c>
      <c r="J159" s="139" t="s">
        <v>14</v>
      </c>
      <c r="K159" s="140" t="str">
        <f t="shared" si="55"/>
        <v>P45 SMH380 DP 2-4 3D-Model Spoel</v>
      </c>
      <c r="L159" s="140" t="str">
        <f>D159&amp;" "&amp;E159&amp;" "&amp;F159&amp;" "&amp;G159&amp;" ("&amp;H159&amp;") "&amp;I159</f>
        <v>P45 SMH380 DP 2-4 3D-Model Spoel (1.0) 2024-02-16</v>
      </c>
      <c r="M159" s="141">
        <v>1287595</v>
      </c>
      <c r="N159" s="89" t="s">
        <v>335</v>
      </c>
      <c r="O159" s="89" t="s">
        <v>75</v>
      </c>
      <c r="P159" s="142" t="s">
        <v>757</v>
      </c>
      <c r="S159" s="76"/>
    </row>
    <row r="160" spans="2:19" ht="16.5" customHeight="1" x14ac:dyDescent="0.35">
      <c r="B160" s="100"/>
      <c r="C160" s="50">
        <v>3</v>
      </c>
      <c r="D160" s="96" t="s">
        <v>336</v>
      </c>
      <c r="E160" s="4" t="s">
        <v>35</v>
      </c>
      <c r="F160" s="4" t="s">
        <v>36</v>
      </c>
      <c r="G160" s="4" t="s">
        <v>337</v>
      </c>
      <c r="H160" s="57" t="s">
        <v>43</v>
      </c>
      <c r="I160" s="28" t="s">
        <v>698</v>
      </c>
      <c r="J160" s="5" t="s">
        <v>14</v>
      </c>
      <c r="K160" s="68" t="str">
        <f t="shared" si="55"/>
        <v>P46 SMH380 DP 2-4 3D-Model Station Expansion</v>
      </c>
      <c r="L160" s="68" t="str">
        <f>D160&amp;" "&amp;E160&amp;" "&amp;F160&amp;" "&amp;G160&amp;" ("&amp;H160&amp;") "&amp;I160</f>
        <v>P46 SMH380 DP 2-4 3D-Model Station Expansion (1.0) 2024-02-16</v>
      </c>
      <c r="M160" s="58">
        <v>1287596</v>
      </c>
      <c r="N160" s="9" t="s">
        <v>338</v>
      </c>
      <c r="O160" s="32" t="s">
        <v>75</v>
      </c>
      <c r="P160" s="10" t="s">
        <v>754</v>
      </c>
      <c r="S160" s="6"/>
    </row>
    <row r="161" spans="2:19" ht="29" x14ac:dyDescent="0.35">
      <c r="B161" s="100"/>
      <c r="C161" s="54">
        <v>3</v>
      </c>
      <c r="D161" s="97" t="s">
        <v>684</v>
      </c>
      <c r="E161" s="55" t="s">
        <v>35</v>
      </c>
      <c r="F161" s="55" t="s">
        <v>36</v>
      </c>
      <c r="G161" s="55" t="s">
        <v>685</v>
      </c>
      <c r="H161" s="57" t="s">
        <v>43</v>
      </c>
      <c r="I161" s="56" t="s">
        <v>698</v>
      </c>
      <c r="J161" s="5" t="s">
        <v>14</v>
      </c>
      <c r="K161" s="69" t="str">
        <f t="shared" si="55"/>
        <v>P47 SMH380 DP 2-4 3D-Model Station (Landschappelijk Inpassing)</v>
      </c>
      <c r="L161" s="69" t="str">
        <f>D161&amp;" "&amp;E161&amp;" "&amp;F161&amp;" "&amp;G161&amp;" ("&amp;H161&amp;") "&amp;I161</f>
        <v>P47 SMH380 DP 2-4 3D-Model Station (Landschappelijk Inpassing) (1.0) 2024-02-16</v>
      </c>
      <c r="M161" s="57">
        <v>1297563</v>
      </c>
      <c r="N161" s="58"/>
      <c r="O161" s="59" t="s">
        <v>75</v>
      </c>
      <c r="P161" s="10" t="s">
        <v>756</v>
      </c>
      <c r="S161" s="6"/>
    </row>
    <row r="162" spans="2:19" s="115" customFormat="1" ht="16.5" customHeight="1" x14ac:dyDescent="0.35">
      <c r="B162" s="100">
        <v>11</v>
      </c>
      <c r="C162" s="54">
        <v>3</v>
      </c>
      <c r="D162" s="96" t="s">
        <v>744</v>
      </c>
      <c r="E162" s="55" t="s">
        <v>35</v>
      </c>
      <c r="F162" s="55" t="s">
        <v>36</v>
      </c>
      <c r="G162" s="55" t="s">
        <v>686</v>
      </c>
      <c r="H162" s="25" t="s">
        <v>43</v>
      </c>
      <c r="I162" s="24" t="s">
        <v>743</v>
      </c>
      <c r="J162" s="5" t="s">
        <v>14</v>
      </c>
      <c r="K162" s="69" t="str">
        <f>D162&amp;" "&amp;E162&amp;" "&amp;F162&amp;" "&amp;G162</f>
        <v>P48 SMH380 DP 2-4 Primair OGG - SMIT - Transformer</v>
      </c>
      <c r="L162" s="69" t="str">
        <f t="shared" ref="L162:L164" si="56">D162&amp;" "&amp;E162&amp;" "&amp;F162&amp;" "&amp;G162&amp;" ("&amp;H162&amp;") "&amp;I162</f>
        <v>P48 SMH380 DP 2-4 Primair OGG - SMIT - Transformer (1.0) 2025-01-20</v>
      </c>
      <c r="M162" s="57">
        <v>1297562</v>
      </c>
      <c r="N162" s="58"/>
      <c r="O162" s="58" t="s">
        <v>40</v>
      </c>
      <c r="P162" s="60" t="s">
        <v>687</v>
      </c>
      <c r="S162" s="92"/>
    </row>
    <row r="163" spans="2:19" s="115" customFormat="1" ht="16.5" customHeight="1" x14ac:dyDescent="0.35">
      <c r="B163" s="100">
        <v>12</v>
      </c>
      <c r="C163" s="54">
        <v>3</v>
      </c>
      <c r="D163" s="96" t="s">
        <v>745</v>
      </c>
      <c r="E163" s="55" t="s">
        <v>35</v>
      </c>
      <c r="F163" s="55" t="s">
        <v>36</v>
      </c>
      <c r="G163" s="55" t="s">
        <v>688</v>
      </c>
      <c r="H163" s="25" t="s">
        <v>43</v>
      </c>
      <c r="I163" s="24" t="s">
        <v>743</v>
      </c>
      <c r="J163" s="5" t="s">
        <v>14</v>
      </c>
      <c r="K163" s="69" t="str">
        <f>D163&amp;" "&amp;E163&amp;" "&amp;F163&amp;" "&amp;G163</f>
        <v>P49 SMH380 DP 2-4 Primair OGG - SMIT - Shunt Reactor</v>
      </c>
      <c r="L163" s="69" t="str">
        <f t="shared" si="56"/>
        <v>P49 SMH380 DP 2-4 Primair OGG - SMIT - Shunt Reactor (1.0) 2025-01-20</v>
      </c>
      <c r="M163" s="57">
        <v>1297561</v>
      </c>
      <c r="N163" s="58"/>
      <c r="O163" s="58" t="s">
        <v>40</v>
      </c>
      <c r="P163" s="60" t="s">
        <v>755</v>
      </c>
      <c r="S163" s="92"/>
    </row>
    <row r="164" spans="2:19" s="115" customFormat="1" ht="16.5" customHeight="1" x14ac:dyDescent="0.35">
      <c r="B164" s="100"/>
      <c r="C164" s="153" t="s">
        <v>789</v>
      </c>
      <c r="D164" s="148" t="s">
        <v>785</v>
      </c>
      <c r="E164" s="149" t="s">
        <v>35</v>
      </c>
      <c r="F164" s="149" t="s">
        <v>36</v>
      </c>
      <c r="G164" s="149" t="s">
        <v>786</v>
      </c>
      <c r="H164" s="150" t="s">
        <v>43</v>
      </c>
      <c r="I164" s="151" t="s">
        <v>787</v>
      </c>
      <c r="J164" s="88" t="s">
        <v>14</v>
      </c>
      <c r="K164" s="70" t="str">
        <f>D164&amp;" "&amp;E164&amp;" "&amp;F164&amp;" "&amp;G164</f>
        <v>P50 SMH380 DP 2-4 Primair Ontwerp Uitgangspunten</v>
      </c>
      <c r="L164" s="70" t="str">
        <f t="shared" si="56"/>
        <v>P50 SMH380 DP 2-4 Primair Ontwerp Uitgangspunten (1.0) 2025-02-11</v>
      </c>
      <c r="M164" s="150">
        <v>1565007</v>
      </c>
      <c r="N164" s="152" t="s">
        <v>788</v>
      </c>
      <c r="O164" s="152" t="s">
        <v>40</v>
      </c>
      <c r="P164" s="60"/>
      <c r="S164" s="92"/>
    </row>
    <row r="165" spans="2:19" s="115" customFormat="1" ht="16.5" customHeight="1" x14ac:dyDescent="0.35">
      <c r="B165" s="100"/>
      <c r="C165" s="54"/>
      <c r="D165" s="96"/>
      <c r="E165" s="55"/>
      <c r="F165" s="55"/>
      <c r="G165" s="55"/>
      <c r="H165" s="25"/>
      <c r="I165" s="24"/>
      <c r="J165" s="5"/>
      <c r="K165" s="69"/>
      <c r="L165" s="69"/>
      <c r="M165" s="57"/>
      <c r="N165" s="58"/>
      <c r="O165" s="58"/>
      <c r="P165" s="60"/>
      <c r="S165" s="92"/>
    </row>
    <row r="166" spans="2:19" s="99" customFormat="1" ht="87" x14ac:dyDescent="0.35">
      <c r="B166" s="120">
        <v>13</v>
      </c>
      <c r="C166" s="54">
        <v>3</v>
      </c>
      <c r="D166" s="97" t="s">
        <v>748</v>
      </c>
      <c r="E166" s="55" t="s">
        <v>35</v>
      </c>
      <c r="F166" s="55" t="s">
        <v>36</v>
      </c>
      <c r="G166" s="55" t="s">
        <v>780</v>
      </c>
      <c r="H166" s="57" t="s">
        <v>43</v>
      </c>
      <c r="I166" s="56" t="s">
        <v>698</v>
      </c>
      <c r="J166" s="77" t="s">
        <v>14</v>
      </c>
      <c r="K166" s="69" t="str">
        <f t="shared" si="55"/>
        <v>BP46 SMH380 DP 2-4 3D-Model Station Expansion native files</v>
      </c>
      <c r="L166" s="69" t="str">
        <f>D166&amp;" "&amp;E166&amp;" "&amp;F166&amp;" "&amp;G166&amp;" ("&amp;H166&amp;") "&amp;I166</f>
        <v>BP46 SMH380 DP 2-4 3D-Model Station Expansion native files (1.0) 2024-02-16</v>
      </c>
      <c r="M166" s="57">
        <v>1385998</v>
      </c>
      <c r="N166" s="58"/>
      <c r="O166" s="59" t="s">
        <v>75</v>
      </c>
      <c r="P166" s="60" t="s">
        <v>760</v>
      </c>
      <c r="S166" s="73"/>
    </row>
    <row r="167" spans="2:19" ht="16.5" customHeight="1" x14ac:dyDescent="0.35">
      <c r="C167" s="50"/>
      <c r="D167" s="96"/>
      <c r="E167" s="4"/>
      <c r="F167" s="4"/>
      <c r="G167" s="4"/>
      <c r="H167" s="25"/>
      <c r="I167" s="21"/>
      <c r="J167" s="12"/>
      <c r="K167" s="12"/>
      <c r="L167" s="68"/>
      <c r="M167" s="9"/>
      <c r="N167" s="9"/>
      <c r="O167" s="9"/>
      <c r="P167" s="10"/>
      <c r="S167" s="6"/>
    </row>
    <row r="168" spans="2:19" ht="16.5" customHeight="1" x14ac:dyDescent="0.35">
      <c r="C168" s="50">
        <v>4</v>
      </c>
      <c r="D168" s="96" t="s">
        <v>339</v>
      </c>
      <c r="E168" s="4" t="s">
        <v>35</v>
      </c>
      <c r="F168" s="4" t="s">
        <v>36</v>
      </c>
      <c r="G168" s="4" t="s">
        <v>340</v>
      </c>
      <c r="H168" s="25" t="s">
        <v>38</v>
      </c>
      <c r="I168" s="21" t="s">
        <v>341</v>
      </c>
      <c r="J168" s="5" t="s">
        <v>14</v>
      </c>
      <c r="K168" s="68" t="str">
        <f t="shared" ref="K168:K185" si="57">D168&amp;" "&amp;E168&amp;" "&amp;F168&amp;" "&amp;G168</f>
        <v>S01 SMH380 DP 2-4 B-M-Uitschakelmatrix en beveiligingsoverzicht tak 4 Existing</v>
      </c>
      <c r="L168" s="68" t="str">
        <f t="shared" ref="L168:L181" si="58">D168&amp;" "&amp;E168&amp;" "&amp;F168&amp;" "&amp;G168&amp;" ("&amp;H168&amp;") "&amp;I168</f>
        <v>S01 SMH380 DP 2-4 B-M-Uitschakelmatrix en beveiligingsoverzicht tak 4 Existing (0.0) 2022-08-16</v>
      </c>
      <c r="M168" s="9">
        <v>1287598</v>
      </c>
      <c r="N168" s="9" t="s">
        <v>342</v>
      </c>
      <c r="O168" s="9" t="s">
        <v>75</v>
      </c>
      <c r="P168" s="10"/>
      <c r="S168" s="6"/>
    </row>
    <row r="169" spans="2:19" ht="16.5" customHeight="1" x14ac:dyDescent="0.35">
      <c r="C169" s="50">
        <v>4</v>
      </c>
      <c r="D169" s="96" t="s">
        <v>343</v>
      </c>
      <c r="E169" s="4" t="s">
        <v>35</v>
      </c>
      <c r="F169" s="4" t="s">
        <v>36</v>
      </c>
      <c r="G169" s="4" t="s">
        <v>344</v>
      </c>
      <c r="H169" s="25" t="s">
        <v>38</v>
      </c>
      <c r="I169" s="21" t="s">
        <v>345</v>
      </c>
      <c r="J169" s="5" t="s">
        <v>14</v>
      </c>
      <c r="K169" s="68" t="str">
        <f t="shared" si="57"/>
        <v>S02 SMH380 DP 2-4 B-M-Uitschakelmatrix en beveiligingsoverzicht tak 5 Existing</v>
      </c>
      <c r="L169" s="68" t="str">
        <f t="shared" si="58"/>
        <v>S02 SMH380 DP 2-4 B-M-Uitschakelmatrix en beveiligingsoverzicht tak 5 Existing (0.0) 2022-08-22</v>
      </c>
      <c r="M169" s="9">
        <v>1287599</v>
      </c>
      <c r="N169" s="9" t="s">
        <v>342</v>
      </c>
      <c r="O169" s="9" t="s">
        <v>75</v>
      </c>
      <c r="P169" s="10"/>
      <c r="S169" s="6"/>
    </row>
    <row r="170" spans="2:19" ht="16.5" customHeight="1" x14ac:dyDescent="0.35">
      <c r="C170" s="50">
        <v>4</v>
      </c>
      <c r="D170" s="96" t="s">
        <v>346</v>
      </c>
      <c r="E170" s="4"/>
      <c r="F170" s="4"/>
      <c r="G170" s="4"/>
      <c r="H170" s="25"/>
      <c r="I170" s="21"/>
      <c r="J170" s="5"/>
      <c r="K170" s="68"/>
      <c r="L170" s="68"/>
      <c r="M170" s="9"/>
      <c r="N170" s="9"/>
      <c r="O170" s="9"/>
      <c r="P170" s="10" t="s">
        <v>50</v>
      </c>
      <c r="S170" s="6"/>
    </row>
    <row r="171" spans="2:19" ht="16.5" customHeight="1" x14ac:dyDescent="0.35">
      <c r="C171" s="50">
        <v>4</v>
      </c>
      <c r="D171" s="96" t="s">
        <v>347</v>
      </c>
      <c r="E171" s="4" t="s">
        <v>35</v>
      </c>
      <c r="F171" s="4" t="s">
        <v>36</v>
      </c>
      <c r="G171" s="4" t="s">
        <v>348</v>
      </c>
      <c r="H171" s="25">
        <v>2</v>
      </c>
      <c r="I171" s="21" t="s">
        <v>696</v>
      </c>
      <c r="J171" s="5" t="s">
        <v>14</v>
      </c>
      <c r="K171" s="68" t="str">
        <f t="shared" si="57"/>
        <v>S04 SMH380 DP 2-4 B-M-Uitschakelmatrix en beveiligingsoverzicht tak 1 Desired</v>
      </c>
      <c r="L171" s="68" t="str">
        <f t="shared" si="58"/>
        <v>S04 SMH380 DP 2-4 B-M-Uitschakelmatrix en beveiligingsoverzicht tak 1 Desired (2) 2024-02-13</v>
      </c>
      <c r="M171" s="9">
        <v>1287600</v>
      </c>
      <c r="N171" s="9" t="s">
        <v>342</v>
      </c>
      <c r="O171" s="9" t="s">
        <v>40</v>
      </c>
      <c r="P171" s="10"/>
      <c r="S171" s="6"/>
    </row>
    <row r="172" spans="2:19" ht="16.5" customHeight="1" x14ac:dyDescent="0.35">
      <c r="C172" s="50">
        <v>4</v>
      </c>
      <c r="D172" s="96" t="s">
        <v>350</v>
      </c>
      <c r="E172" s="4" t="s">
        <v>35</v>
      </c>
      <c r="F172" s="4" t="s">
        <v>36</v>
      </c>
      <c r="G172" s="4" t="s">
        <v>351</v>
      </c>
      <c r="H172" s="25">
        <v>2</v>
      </c>
      <c r="I172" s="21" t="s">
        <v>696</v>
      </c>
      <c r="J172" s="5" t="s">
        <v>14</v>
      </c>
      <c r="K172" s="68" t="str">
        <f t="shared" si="57"/>
        <v>S05 SMH380 DP 2-4 B-M-Uitschakelmatrix en beveiligingsoverzicht tak 2 Desired</v>
      </c>
      <c r="L172" s="68" t="str">
        <f t="shared" si="58"/>
        <v>S05 SMH380 DP 2-4 B-M-Uitschakelmatrix en beveiligingsoverzicht tak 2 Desired (2) 2024-02-13</v>
      </c>
      <c r="M172" s="9">
        <v>1287601</v>
      </c>
      <c r="N172" s="9" t="s">
        <v>342</v>
      </c>
      <c r="O172" s="9" t="s">
        <v>40</v>
      </c>
      <c r="P172" s="10"/>
      <c r="S172" s="6"/>
    </row>
    <row r="173" spans="2:19" ht="16.5" customHeight="1" x14ac:dyDescent="0.35">
      <c r="C173" s="50">
        <v>4</v>
      </c>
      <c r="D173" s="96" t="s">
        <v>352</v>
      </c>
      <c r="E173" s="4" t="s">
        <v>35</v>
      </c>
      <c r="F173" s="4" t="s">
        <v>36</v>
      </c>
      <c r="G173" s="4" t="s">
        <v>353</v>
      </c>
      <c r="H173" s="25">
        <v>2</v>
      </c>
      <c r="I173" s="21" t="s">
        <v>696</v>
      </c>
      <c r="J173" s="5" t="s">
        <v>14</v>
      </c>
      <c r="K173" s="68" t="str">
        <f t="shared" si="57"/>
        <v>S06 SMH380 DP 2-4 B-M-Uitschakelmatrix en beveiligingsoverzicht tak 4 Desired</v>
      </c>
      <c r="L173" s="68" t="str">
        <f t="shared" si="58"/>
        <v>S06 SMH380 DP 2-4 B-M-Uitschakelmatrix en beveiligingsoverzicht tak 4 Desired (2) 2024-02-13</v>
      </c>
      <c r="M173" s="9">
        <v>1287602</v>
      </c>
      <c r="N173" s="9" t="s">
        <v>342</v>
      </c>
      <c r="O173" s="9" t="s">
        <v>40</v>
      </c>
      <c r="P173" s="10"/>
      <c r="S173" s="6"/>
    </row>
    <row r="174" spans="2:19" ht="16.5" customHeight="1" x14ac:dyDescent="0.35">
      <c r="C174" s="50">
        <v>4</v>
      </c>
      <c r="D174" s="96" t="s">
        <v>354</v>
      </c>
      <c r="E174" s="4" t="s">
        <v>35</v>
      </c>
      <c r="F174" s="4" t="s">
        <v>36</v>
      </c>
      <c r="G174" s="4" t="s">
        <v>355</v>
      </c>
      <c r="H174" s="25">
        <v>2</v>
      </c>
      <c r="I174" s="21" t="s">
        <v>696</v>
      </c>
      <c r="J174" s="5" t="s">
        <v>14</v>
      </c>
      <c r="K174" s="68" t="str">
        <f t="shared" si="57"/>
        <v>S07 SMH380 DP 2-4 B-M-Uitschakelmatrix en beveiligingsoverzicht tak 5 Desired</v>
      </c>
      <c r="L174" s="68" t="str">
        <f t="shared" si="58"/>
        <v>S07 SMH380 DP 2-4 B-M-Uitschakelmatrix en beveiligingsoverzicht tak 5 Desired (2) 2024-02-13</v>
      </c>
      <c r="M174" s="9">
        <v>1287603</v>
      </c>
      <c r="N174" s="9" t="s">
        <v>342</v>
      </c>
      <c r="O174" s="9" t="s">
        <v>40</v>
      </c>
      <c r="P174" s="10"/>
      <c r="S174" s="6"/>
    </row>
    <row r="175" spans="2:19" ht="16.5" customHeight="1" x14ac:dyDescent="0.35">
      <c r="C175" s="50">
        <v>4</v>
      </c>
      <c r="D175" s="96" t="s">
        <v>356</v>
      </c>
      <c r="E175" s="4" t="s">
        <v>35</v>
      </c>
      <c r="F175" s="4" t="s">
        <v>36</v>
      </c>
      <c r="G175" s="4" t="s">
        <v>357</v>
      </c>
      <c r="H175" s="25" t="s">
        <v>43</v>
      </c>
      <c r="I175" s="21" t="s">
        <v>174</v>
      </c>
      <c r="J175" s="5" t="s">
        <v>14</v>
      </c>
      <c r="K175" s="68" t="str">
        <f t="shared" si="57"/>
        <v>S08 SMH380 DP 2-4 Layout Secondary Cabinets Branch House 4 Desired Situation</v>
      </c>
      <c r="L175" s="68" t="str">
        <f t="shared" si="58"/>
        <v>S08 SMH380 DP 2-4 Layout Secondary Cabinets Branch House 4 Desired Situation (1.0) 2024-01-25</v>
      </c>
      <c r="M175" s="9">
        <v>1287604</v>
      </c>
      <c r="N175" s="9" t="s">
        <v>358</v>
      </c>
      <c r="O175" s="9" t="s">
        <v>75</v>
      </c>
      <c r="P175" s="10"/>
      <c r="S175" s="6"/>
    </row>
    <row r="176" spans="2:19" ht="16.5" customHeight="1" x14ac:dyDescent="0.35">
      <c r="C176" s="50">
        <v>4</v>
      </c>
      <c r="D176" s="96" t="s">
        <v>359</v>
      </c>
      <c r="E176" s="4" t="s">
        <v>35</v>
      </c>
      <c r="F176" s="4" t="s">
        <v>36</v>
      </c>
      <c r="G176" s="4" t="s">
        <v>360</v>
      </c>
      <c r="H176" s="25" t="s">
        <v>43</v>
      </c>
      <c r="I176" s="21" t="s">
        <v>174</v>
      </c>
      <c r="J176" s="5" t="s">
        <v>14</v>
      </c>
      <c r="K176" s="68" t="str">
        <f t="shared" si="57"/>
        <v>S09 SMH380 DP 2-4 Layout Secondary Cabinets Branch House 5 Desired Situation</v>
      </c>
      <c r="L176" s="68" t="str">
        <f t="shared" si="58"/>
        <v>S09 SMH380 DP 2-4 Layout Secondary Cabinets Branch House 5 Desired Situation (1.0) 2024-01-25</v>
      </c>
      <c r="M176" s="9">
        <v>1287605</v>
      </c>
      <c r="N176" s="9" t="s">
        <v>361</v>
      </c>
      <c r="O176" s="9" t="s">
        <v>75</v>
      </c>
      <c r="P176" s="10"/>
      <c r="S176" s="6"/>
    </row>
    <row r="177" spans="3:19" ht="16.5" customHeight="1" x14ac:dyDescent="0.35">
      <c r="C177" s="50"/>
      <c r="D177" s="96"/>
      <c r="E177" s="4"/>
      <c r="F177" s="4"/>
      <c r="G177" s="4"/>
      <c r="H177" s="25"/>
      <c r="I177" s="21"/>
      <c r="J177" s="5"/>
      <c r="K177" s="68"/>
      <c r="L177" s="68"/>
      <c r="M177" s="9"/>
      <c r="N177" s="9"/>
      <c r="O177" s="9"/>
      <c r="P177" s="10"/>
      <c r="S177" s="6"/>
    </row>
    <row r="178" spans="3:19" ht="16.5" customHeight="1" x14ac:dyDescent="0.35">
      <c r="C178" s="50">
        <v>4</v>
      </c>
      <c r="D178" s="96" t="s">
        <v>362</v>
      </c>
      <c r="E178" s="4" t="s">
        <v>35</v>
      </c>
      <c r="F178" s="4" t="s">
        <v>36</v>
      </c>
      <c r="G178" s="7" t="s">
        <v>363</v>
      </c>
      <c r="H178" s="25" t="s">
        <v>65</v>
      </c>
      <c r="I178" s="21" t="s">
        <v>697</v>
      </c>
      <c r="J178" s="5" t="s">
        <v>14</v>
      </c>
      <c r="K178" s="68" t="str">
        <f t="shared" si="57"/>
        <v>S10 SMH380 DP 2-4 OGG List Secondary</v>
      </c>
      <c r="L178" s="68" t="str">
        <f t="shared" si="58"/>
        <v>S10 SMH380 DP 2-4 OGG List Secondary (3.0) 2024-02-14</v>
      </c>
      <c r="M178" s="9">
        <v>1287606</v>
      </c>
      <c r="N178" s="9" t="s">
        <v>364</v>
      </c>
      <c r="O178" s="9" t="s">
        <v>40</v>
      </c>
      <c r="P178" s="10"/>
      <c r="S178" s="6"/>
    </row>
    <row r="179" spans="3:19" ht="16.5" customHeight="1" x14ac:dyDescent="0.35">
      <c r="C179" s="50">
        <v>4</v>
      </c>
      <c r="D179" s="96" t="s">
        <v>365</v>
      </c>
      <c r="E179" s="4" t="s">
        <v>35</v>
      </c>
      <c r="F179" s="4" t="s">
        <v>36</v>
      </c>
      <c r="G179" s="4" t="s">
        <v>366</v>
      </c>
      <c r="H179" s="25" t="s">
        <v>20</v>
      </c>
      <c r="I179" s="21" t="s">
        <v>367</v>
      </c>
      <c r="J179" s="5" t="s">
        <v>14</v>
      </c>
      <c r="K179" s="68" t="str">
        <f t="shared" si="57"/>
        <v>S11 SMH380 DP 2-4 Inventory POW Switching Transformers</v>
      </c>
      <c r="L179" s="68" t="str">
        <f t="shared" si="58"/>
        <v>S11 SMH380 DP 2-4 Inventory POW Switching Transformers (1.1) 2023-07-26</v>
      </c>
      <c r="M179" s="9">
        <v>1287607</v>
      </c>
      <c r="N179" s="9" t="s">
        <v>368</v>
      </c>
      <c r="O179" s="9" t="s">
        <v>40</v>
      </c>
      <c r="P179" s="10"/>
      <c r="S179" s="6"/>
    </row>
    <row r="180" spans="3:19" ht="16.5" customHeight="1" x14ac:dyDescent="0.35">
      <c r="C180" s="50">
        <v>4</v>
      </c>
      <c r="D180" s="96" t="s">
        <v>369</v>
      </c>
      <c r="E180" s="4" t="s">
        <v>35</v>
      </c>
      <c r="F180" s="4" t="s">
        <v>36</v>
      </c>
      <c r="G180" s="4" t="s">
        <v>370</v>
      </c>
      <c r="H180" s="25" t="s">
        <v>284</v>
      </c>
      <c r="I180" s="21" t="s">
        <v>371</v>
      </c>
      <c r="J180" s="5" t="s">
        <v>14</v>
      </c>
      <c r="K180" s="68" t="str">
        <f t="shared" si="57"/>
        <v>S12 SMH380 DP 2-4 Schematic indication Revenue metering</v>
      </c>
      <c r="L180" s="68" t="str">
        <f t="shared" si="58"/>
        <v>S12 SMH380 DP 2-4 Schematic indication Revenue metering (1.3) 2023-05-02</v>
      </c>
      <c r="M180" s="9">
        <v>1287608</v>
      </c>
      <c r="N180" s="9" t="s">
        <v>372</v>
      </c>
      <c r="O180" s="9" t="s">
        <v>75</v>
      </c>
      <c r="P180" s="10"/>
      <c r="S180" s="6"/>
    </row>
    <row r="181" spans="3:19" ht="16.5" customHeight="1" x14ac:dyDescent="0.35">
      <c r="C181" s="50">
        <v>4</v>
      </c>
      <c r="D181" s="96" t="s">
        <v>373</v>
      </c>
      <c r="E181" s="4" t="s">
        <v>35</v>
      </c>
      <c r="F181" s="4" t="s">
        <v>36</v>
      </c>
      <c r="G181" s="4" t="s">
        <v>374</v>
      </c>
      <c r="H181" s="25" t="s">
        <v>219</v>
      </c>
      <c r="I181" s="21" t="s">
        <v>170</v>
      </c>
      <c r="J181" s="5" t="s">
        <v>14</v>
      </c>
      <c r="K181" s="68" t="str">
        <f t="shared" si="57"/>
        <v>S13 SMH380 DP 2-4 Schetsontwerp SRBV</v>
      </c>
      <c r="L181" s="68" t="str">
        <f t="shared" si="58"/>
        <v>S13 SMH380 DP 2-4 Schetsontwerp SRBV (A) 2024-01-24</v>
      </c>
      <c r="M181" s="9">
        <v>1287609</v>
      </c>
      <c r="N181" s="9" t="s">
        <v>59</v>
      </c>
      <c r="O181" s="9" t="s">
        <v>75</v>
      </c>
      <c r="P181" s="10"/>
      <c r="S181" s="6"/>
    </row>
    <row r="182" spans="3:19" ht="16.5" customHeight="1" x14ac:dyDescent="0.35">
      <c r="C182" s="50">
        <v>4</v>
      </c>
      <c r="D182" s="96" t="s">
        <v>375</v>
      </c>
      <c r="E182" s="4" t="s">
        <v>35</v>
      </c>
      <c r="F182" s="4" t="s">
        <v>36</v>
      </c>
      <c r="G182" s="4" t="s">
        <v>376</v>
      </c>
      <c r="H182" s="25" t="s">
        <v>377</v>
      </c>
      <c r="I182" s="21" t="s">
        <v>345</v>
      </c>
      <c r="J182" s="5" t="s">
        <v>14</v>
      </c>
      <c r="K182" s="68" t="str">
        <f t="shared" ref="K182" si="59">D182&amp;" "&amp;E182&amp;" "&amp;F182&amp;" "&amp;G182</f>
        <v>S14 SMH380 DP 2-4 Eénlijnschema AC-DC hulpstroomvoorziening gewenste situatie</v>
      </c>
      <c r="L182" s="68" t="str">
        <f t="shared" ref="L182:L183" si="60">D182&amp;" "&amp;E182&amp;" "&amp;F182&amp;" "&amp;G182&amp;" ("&amp;H182&amp;") "&amp;I182</f>
        <v>S14 SMH380 DP 2-4 Eénlijnschema AC-DC hulpstroomvoorziening gewenste situatie (H) 2022-08-22</v>
      </c>
      <c r="M182" s="9">
        <v>1287610</v>
      </c>
      <c r="N182" s="9" t="s">
        <v>59</v>
      </c>
      <c r="O182" s="9" t="s">
        <v>75</v>
      </c>
      <c r="P182" s="10"/>
      <c r="S182" s="6"/>
    </row>
    <row r="183" spans="3:19" ht="16.5" customHeight="1" x14ac:dyDescent="0.35">
      <c r="C183" s="50">
        <v>4</v>
      </c>
      <c r="D183" s="96" t="s">
        <v>378</v>
      </c>
      <c r="E183" s="4" t="s">
        <v>35</v>
      </c>
      <c r="F183" s="4" t="s">
        <v>36</v>
      </c>
      <c r="G183" s="4" t="s">
        <v>379</v>
      </c>
      <c r="H183" s="25" t="s">
        <v>380</v>
      </c>
      <c r="I183" s="21" t="s">
        <v>381</v>
      </c>
      <c r="J183" s="5" t="s">
        <v>14</v>
      </c>
      <c r="K183" s="68" t="str">
        <f t="shared" si="57"/>
        <v>S15 SMH380 DP 2-4 SO-PDA-11-084 Aanleveren gegevens MOC-SO</v>
      </c>
      <c r="L183" s="68" t="str">
        <f t="shared" si="60"/>
        <v>S15 SMH380 DP 2-4 SO-PDA-11-084 Aanleveren gegevens MOC-SO (1.4) 2021-09-16</v>
      </c>
      <c r="M183" s="9">
        <v>1287611</v>
      </c>
      <c r="N183" s="9" t="s">
        <v>59</v>
      </c>
      <c r="O183" s="9" t="s">
        <v>40</v>
      </c>
      <c r="P183" s="10"/>
      <c r="S183" s="6"/>
    </row>
    <row r="184" spans="3:19" ht="16.5" customHeight="1" x14ac:dyDescent="0.35">
      <c r="C184" s="50"/>
      <c r="D184" s="96"/>
      <c r="E184" s="4"/>
      <c r="F184" s="4"/>
      <c r="G184" s="4"/>
      <c r="H184" s="25"/>
      <c r="I184" s="21"/>
      <c r="J184" s="5"/>
      <c r="K184" s="68"/>
      <c r="L184" s="68"/>
      <c r="M184" s="9"/>
      <c r="N184" s="9"/>
      <c r="O184" s="9"/>
      <c r="P184" s="10"/>
      <c r="S184" s="6"/>
    </row>
    <row r="185" spans="3:19" ht="16.5" customHeight="1" x14ac:dyDescent="0.35">
      <c r="C185" s="50">
        <v>5</v>
      </c>
      <c r="D185" s="96" t="s">
        <v>382</v>
      </c>
      <c r="E185" s="4" t="s">
        <v>35</v>
      </c>
      <c r="F185" s="4" t="s">
        <v>36</v>
      </c>
      <c r="G185" s="4" t="s">
        <v>383</v>
      </c>
      <c r="H185" s="71" t="s">
        <v>48</v>
      </c>
      <c r="I185" s="72" t="s">
        <v>707</v>
      </c>
      <c r="J185" s="5" t="s">
        <v>14</v>
      </c>
      <c r="K185" s="68" t="str">
        <f t="shared" si="57"/>
        <v>T01 SMH380 DP 2-4 Telecom Glasvezel Routes</v>
      </c>
      <c r="L185" s="68" t="str">
        <f>D185&amp;" "&amp;E185&amp;" "&amp;F185&amp;" "&amp;G185&amp;" ("&amp;H185&amp;") "&amp;I185</f>
        <v>T01 SMH380 DP 2-4 Telecom Glasvezel Routes (1.2) 2024-07-11</v>
      </c>
      <c r="M185" s="9">
        <v>1287615</v>
      </c>
      <c r="N185" s="9" t="s">
        <v>384</v>
      </c>
      <c r="O185" s="9" t="s">
        <v>40</v>
      </c>
      <c r="P185" s="10"/>
      <c r="S185" s="6"/>
    </row>
    <row r="186" spans="3:19" ht="16.5" customHeight="1" x14ac:dyDescent="0.35">
      <c r="C186" s="50">
        <v>5</v>
      </c>
      <c r="D186" s="96" t="s">
        <v>385</v>
      </c>
      <c r="E186" s="4" t="s">
        <v>35</v>
      </c>
      <c r="F186" s="4" t="s">
        <v>36</v>
      </c>
      <c r="G186" s="4" t="s">
        <v>386</v>
      </c>
      <c r="H186" s="26" t="s">
        <v>114</v>
      </c>
      <c r="I186" s="21" t="s">
        <v>669</v>
      </c>
      <c r="J186" s="5" t="s">
        <v>14</v>
      </c>
      <c r="K186" s="68" t="str">
        <f t="shared" ref="K186" si="61">D186&amp;" "&amp;E186&amp;" "&amp;F186&amp;" "&amp;G186</f>
        <v>T02 SMH380 DP 2-4 OGG-Lijst Telecom</v>
      </c>
      <c r="L186" s="68" t="str">
        <f>D186&amp;" "&amp;E186&amp;" "&amp;F186&amp;" "&amp;G186&amp;" ("&amp;H186&amp;") "&amp;I186</f>
        <v>T02 SMH380 DP 2-4 OGG-Lijst Telecom (2.0) 2024-02-15</v>
      </c>
      <c r="M186" s="9">
        <v>1287616</v>
      </c>
      <c r="N186" s="9" t="s">
        <v>59</v>
      </c>
      <c r="O186" s="9" t="s">
        <v>40</v>
      </c>
      <c r="P186" s="10"/>
      <c r="S186" s="6"/>
    </row>
    <row r="187" spans="3:19" ht="16.5" customHeight="1" x14ac:dyDescent="0.35">
      <c r="C187" s="50">
        <v>5</v>
      </c>
      <c r="D187" s="96" t="s">
        <v>387</v>
      </c>
      <c r="E187" s="4" t="s">
        <v>35</v>
      </c>
      <c r="F187" s="4" t="s">
        <v>36</v>
      </c>
      <c r="G187" s="4" t="s">
        <v>388</v>
      </c>
      <c r="H187" s="26" t="s">
        <v>114</v>
      </c>
      <c r="I187" s="21" t="s">
        <v>669</v>
      </c>
      <c r="J187" s="5" t="s">
        <v>14</v>
      </c>
      <c r="K187" s="68" t="str">
        <f t="shared" ref="K187" si="62">D187&amp;" "&amp;E187&amp;" "&amp;F187&amp;" "&amp;G187</f>
        <v>T03 SMH380 DP 2-4 Schematische weergave raakvlak station en lijnen</v>
      </c>
      <c r="L187" s="68" t="str">
        <f>D187&amp;" "&amp;E187&amp;" "&amp;F187&amp;" "&amp;G187&amp;" ("&amp;H187&amp;") "&amp;I187</f>
        <v>T03 SMH380 DP 2-4 Schematische weergave raakvlak station en lijnen (2.0) 2024-02-15</v>
      </c>
      <c r="M187" s="9">
        <v>1287617</v>
      </c>
      <c r="N187" s="9" t="s">
        <v>59</v>
      </c>
      <c r="O187" s="9" t="s">
        <v>40</v>
      </c>
      <c r="P187" s="10"/>
      <c r="S187" s="6"/>
    </row>
    <row r="188" spans="3:19" ht="16.5" customHeight="1" x14ac:dyDescent="0.35">
      <c r="C188" s="50"/>
      <c r="D188" s="96"/>
      <c r="E188" s="4"/>
      <c r="F188" s="4"/>
      <c r="G188" s="4"/>
      <c r="H188" s="26"/>
      <c r="I188" s="21"/>
      <c r="J188" s="5"/>
      <c r="K188" s="68"/>
      <c r="L188" s="68"/>
      <c r="M188" s="9"/>
      <c r="N188" s="9"/>
      <c r="O188" s="9"/>
      <c r="P188" s="10"/>
      <c r="S188" s="6"/>
    </row>
    <row r="189" spans="3:19" ht="16.5" customHeight="1" x14ac:dyDescent="0.35">
      <c r="C189" s="50">
        <v>6</v>
      </c>
      <c r="D189" s="96" t="s">
        <v>389</v>
      </c>
      <c r="E189" s="4" t="s">
        <v>35</v>
      </c>
      <c r="F189" s="4" t="s">
        <v>36</v>
      </c>
      <c r="G189" s="4" t="s">
        <v>390</v>
      </c>
      <c r="H189" s="71" t="s">
        <v>57</v>
      </c>
      <c r="I189" s="21" t="s">
        <v>391</v>
      </c>
      <c r="J189" s="5" t="s">
        <v>14</v>
      </c>
      <c r="K189" s="68" t="str">
        <f>D189&amp;" "&amp;E189&amp;" "&amp;F189&amp;" "&amp;G189</f>
        <v>B01 SMH380 DP 2-4 Pile plan Existing Situation</v>
      </c>
      <c r="L189" s="68" t="str">
        <f>D189&amp;" "&amp;E189&amp;" "&amp;F189&amp;" "&amp;G189&amp;" ("&amp;H189&amp;") "&amp;I189</f>
        <v>B01 SMH380 DP 2-4 Pile plan Existing Situation (-.-) 2008-09-16</v>
      </c>
      <c r="M189" s="25">
        <v>1046733</v>
      </c>
      <c r="N189" s="9" t="s">
        <v>59</v>
      </c>
      <c r="O189" s="9" t="s">
        <v>75</v>
      </c>
      <c r="P189" s="13"/>
      <c r="Q189" s="108"/>
      <c r="R189" s="108"/>
      <c r="S189" s="6"/>
    </row>
    <row r="190" spans="3:19" ht="16.5" customHeight="1" x14ac:dyDescent="0.35">
      <c r="C190" s="50">
        <v>6</v>
      </c>
      <c r="D190" s="96" t="s">
        <v>392</v>
      </c>
      <c r="E190" s="4" t="s">
        <v>35</v>
      </c>
      <c r="F190" s="4" t="s">
        <v>36</v>
      </c>
      <c r="G190" s="4" t="s">
        <v>393</v>
      </c>
      <c r="H190" s="71" t="s">
        <v>57</v>
      </c>
      <c r="I190" s="21" t="s">
        <v>394</v>
      </c>
      <c r="J190" s="5" t="s">
        <v>14</v>
      </c>
      <c r="K190" s="68" t="str">
        <f>D190&amp;" "&amp;E190&amp;" "&amp;F190&amp;" "&amp;G190</f>
        <v>B02 SMH380 DP 2-4 As-built drawings of the current foundation in the line fields</v>
      </c>
      <c r="L190" s="68" t="str">
        <f>D190&amp;" "&amp;E190&amp;" "&amp;F190&amp;" "&amp;G190&amp;" ("&amp;H190&amp;") "&amp;I190</f>
        <v>B02 SMH380 DP 2-4 As-built drawings of the current foundation in the line fields (-.-) 2010-05-23</v>
      </c>
      <c r="M190" s="25">
        <v>1046750</v>
      </c>
      <c r="N190" s="9" t="s">
        <v>59</v>
      </c>
      <c r="O190" s="9" t="s">
        <v>75</v>
      </c>
      <c r="P190" s="10"/>
      <c r="S190" s="6"/>
    </row>
    <row r="191" spans="3:19" ht="16.5" customHeight="1" x14ac:dyDescent="0.35">
      <c r="C191" s="50">
        <v>6</v>
      </c>
      <c r="D191" s="96" t="s">
        <v>395</v>
      </c>
      <c r="E191" s="4" t="s">
        <v>35</v>
      </c>
      <c r="F191" s="4" t="s">
        <v>36</v>
      </c>
      <c r="G191" s="4" t="s">
        <v>396</v>
      </c>
      <c r="H191" s="71" t="s">
        <v>57</v>
      </c>
      <c r="I191" s="14" t="s">
        <v>397</v>
      </c>
      <c r="J191" s="5" t="s">
        <v>14</v>
      </c>
      <c r="K191" s="68" t="str">
        <f>D191&amp;" "&amp;E191&amp;" "&amp;F191&amp;" "&amp;G191</f>
        <v xml:space="preserve">B03 SMH380 DP 2-4 Existing lighting plan </v>
      </c>
      <c r="L191" s="68" t="str">
        <f>D191&amp;" "&amp;E191&amp;" "&amp;F191&amp;" "&amp;G191&amp;" ("&amp;H191&amp;") "&amp;I191</f>
        <v>B03 SMH380 DP 2-4 Existing lighting plan  (-.-) 2008-06-01</v>
      </c>
      <c r="M191" s="25">
        <v>1046812</v>
      </c>
      <c r="N191" s="9" t="s">
        <v>59</v>
      </c>
      <c r="O191" s="9" t="s">
        <v>75</v>
      </c>
      <c r="P191" s="10"/>
      <c r="S191" s="6"/>
    </row>
    <row r="192" spans="3:19" ht="16.5" customHeight="1" x14ac:dyDescent="0.35">
      <c r="C192" s="50">
        <v>6</v>
      </c>
      <c r="D192" s="96" t="s">
        <v>398</v>
      </c>
      <c r="E192" s="4" t="s">
        <v>35</v>
      </c>
      <c r="F192" s="4" t="s">
        <v>36</v>
      </c>
      <c r="G192" s="4" t="s">
        <v>399</v>
      </c>
      <c r="H192" s="71" t="s">
        <v>57</v>
      </c>
      <c r="I192" s="21" t="s">
        <v>400</v>
      </c>
      <c r="J192" s="5" t="s">
        <v>14</v>
      </c>
      <c r="K192" s="68" t="str">
        <f>D192&amp;" "&amp;E192&amp;" "&amp;F192&amp;" "&amp;G192</f>
        <v>B04 SMH380 DP 2-4 The floor plan of the current CDG</v>
      </c>
      <c r="L192" s="68" t="str">
        <f>D192&amp;" "&amp;E192&amp;" "&amp;F192&amp;" "&amp;G192&amp;" ("&amp;H192&amp;") "&amp;I192</f>
        <v>B04 SMH380 DP 2-4 The floor plan of the current CDG (-.-) 2009-03-03</v>
      </c>
      <c r="M192" s="25">
        <v>1046726</v>
      </c>
      <c r="N192" s="9" t="s">
        <v>59</v>
      </c>
      <c r="O192" s="9" t="s">
        <v>75</v>
      </c>
      <c r="P192" s="10"/>
      <c r="S192" s="6"/>
    </row>
    <row r="193" spans="2:19" ht="16.5" customHeight="1" x14ac:dyDescent="0.35">
      <c r="C193" s="50">
        <v>6</v>
      </c>
      <c r="D193" s="96" t="s">
        <v>690</v>
      </c>
      <c r="E193" s="4" t="s">
        <v>35</v>
      </c>
      <c r="F193" s="4" t="s">
        <v>36</v>
      </c>
      <c r="G193" s="4" t="s">
        <v>402</v>
      </c>
      <c r="H193" s="71" t="s">
        <v>43</v>
      </c>
      <c r="I193" s="21" t="s">
        <v>691</v>
      </c>
      <c r="J193" s="5" t="s">
        <v>14</v>
      </c>
      <c r="K193" s="68" t="str">
        <f t="shared" ref="K193:K256" si="63">D193&amp;" "&amp;E193&amp;" "&amp;F193&amp;" "&amp;G193</f>
        <v>B05 SMH380 DP 2-4 Bovenaanzicht en zijaanzicht funderingen in Tak 5</v>
      </c>
      <c r="L193" s="68" t="str">
        <f t="shared" ref="L193:L232" si="64">D193&amp;" "&amp;E193&amp;" "&amp;F193&amp;" "&amp;G193&amp;" ("&amp;H193&amp;") "&amp;I193</f>
        <v>B05 SMH380 DP 2-4 Bovenaanzicht en zijaanzicht funderingen in Tak 5 (1.0) 2024-01-31</v>
      </c>
      <c r="M193" s="122">
        <v>1248586</v>
      </c>
      <c r="N193" s="61" t="s">
        <v>404</v>
      </c>
      <c r="O193" s="62" t="s">
        <v>40</v>
      </c>
      <c r="P193" s="13"/>
      <c r="S193" s="6"/>
    </row>
    <row r="194" spans="2:19" ht="16.5" customHeight="1" x14ac:dyDescent="0.35">
      <c r="C194" s="50">
        <v>6</v>
      </c>
      <c r="D194" s="96" t="s">
        <v>692</v>
      </c>
      <c r="E194" s="4" t="s">
        <v>35</v>
      </c>
      <c r="F194" s="4" t="s">
        <v>36</v>
      </c>
      <c r="G194" s="4" t="s">
        <v>406</v>
      </c>
      <c r="H194" s="71" t="s">
        <v>43</v>
      </c>
      <c r="I194" s="21" t="s">
        <v>691</v>
      </c>
      <c r="J194" s="5" t="s">
        <v>14</v>
      </c>
      <c r="K194" s="68" t="str">
        <f t="shared" si="63"/>
        <v>B06 SMH380 DP 2-4 Funderingsoverzicht 150kV schakelvelden bij dubbele trafocellen TR413+TR414</v>
      </c>
      <c r="L194" s="68" t="str">
        <f t="shared" si="64"/>
        <v>B06 SMH380 DP 2-4 Funderingsoverzicht 150kV schakelvelden bij dubbele trafocellen TR413+TR414 (1.0) 2024-01-31</v>
      </c>
      <c r="M194" s="122">
        <v>1248587</v>
      </c>
      <c r="N194" s="61" t="s">
        <v>407</v>
      </c>
      <c r="O194" s="62" t="s">
        <v>40</v>
      </c>
      <c r="P194" s="13"/>
      <c r="S194" s="6"/>
    </row>
    <row r="195" spans="2:19" ht="16.5" customHeight="1" x14ac:dyDescent="0.35">
      <c r="C195" s="50">
        <v>6</v>
      </c>
      <c r="D195" s="96" t="s">
        <v>401</v>
      </c>
      <c r="E195" s="4" t="s">
        <v>35</v>
      </c>
      <c r="F195" s="4" t="s">
        <v>36</v>
      </c>
      <c r="G195" s="4" t="s">
        <v>409</v>
      </c>
      <c r="H195" s="71" t="s">
        <v>43</v>
      </c>
      <c r="I195" s="21" t="s">
        <v>691</v>
      </c>
      <c r="J195" s="5" t="s">
        <v>14</v>
      </c>
      <c r="K195" s="68" t="str">
        <f t="shared" si="63"/>
        <v>B07 SMH380 DP 2-4 Funderingsoverzicht 50kV spoelvelden bij dubbele spoelcellen SP413+SP414</v>
      </c>
      <c r="L195" s="68" t="str">
        <f t="shared" si="64"/>
        <v>B07 SMH380 DP 2-4 Funderingsoverzicht 50kV spoelvelden bij dubbele spoelcellen SP413+SP414 (1.0) 2024-01-31</v>
      </c>
      <c r="M195" s="122">
        <v>1248588</v>
      </c>
      <c r="N195" s="61" t="s">
        <v>410</v>
      </c>
      <c r="O195" s="62" t="s">
        <v>40</v>
      </c>
      <c r="P195" s="13"/>
      <c r="S195" s="6"/>
    </row>
    <row r="196" spans="2:19" ht="16.5" customHeight="1" x14ac:dyDescent="0.35">
      <c r="C196" s="50">
        <v>6</v>
      </c>
      <c r="D196" s="96" t="s">
        <v>405</v>
      </c>
      <c r="E196" s="4" t="s">
        <v>35</v>
      </c>
      <c r="F196" s="4" t="s">
        <v>36</v>
      </c>
      <c r="G196" s="4" t="s">
        <v>412</v>
      </c>
      <c r="H196" s="57" t="s">
        <v>43</v>
      </c>
      <c r="I196" s="21" t="s">
        <v>413</v>
      </c>
      <c r="J196" s="5" t="s">
        <v>14</v>
      </c>
      <c r="K196" s="68" t="str">
        <f t="shared" si="63"/>
        <v>B08 SMH380 DP 2-4 Opstellingstekening Bliksempiek</v>
      </c>
      <c r="L196" s="68" t="str">
        <f t="shared" si="64"/>
        <v>B08 SMH380 DP 2-4 Opstellingstekening Bliksempiek (1.0) 2023-01-13</v>
      </c>
      <c r="M196" s="122">
        <v>1248589</v>
      </c>
      <c r="N196" s="61" t="s">
        <v>414</v>
      </c>
      <c r="O196" s="62" t="s">
        <v>40</v>
      </c>
      <c r="P196" s="13"/>
      <c r="S196" s="6"/>
    </row>
    <row r="197" spans="2:19" ht="16.5" customHeight="1" x14ac:dyDescent="0.35">
      <c r="C197" s="50">
        <v>6</v>
      </c>
      <c r="D197" s="96" t="s">
        <v>408</v>
      </c>
      <c r="E197" s="4" t="s">
        <v>35</v>
      </c>
      <c r="F197" s="4" t="s">
        <v>36</v>
      </c>
      <c r="G197" s="4" t="s">
        <v>416</v>
      </c>
      <c r="H197" s="57">
        <v>0</v>
      </c>
      <c r="I197" s="21" t="s">
        <v>691</v>
      </c>
      <c r="J197" s="5" t="s">
        <v>14</v>
      </c>
      <c r="K197" s="68" t="str">
        <f t="shared" si="63"/>
        <v>B09 SMH380 DP 2-4 Milieutekening met gegevens componenten</v>
      </c>
      <c r="L197" s="68" t="str">
        <f t="shared" si="64"/>
        <v>B09 SMH380 DP 2-4 Milieutekening met gegevens componenten (0) 2024-01-31</v>
      </c>
      <c r="M197" s="122">
        <v>1248590</v>
      </c>
      <c r="N197" s="61" t="s">
        <v>418</v>
      </c>
      <c r="O197" s="62" t="s">
        <v>40</v>
      </c>
      <c r="P197" s="13"/>
      <c r="S197" s="6"/>
    </row>
    <row r="198" spans="2:19" s="99" customFormat="1" ht="16.5" customHeight="1" x14ac:dyDescent="0.35">
      <c r="B198" s="120">
        <v>14</v>
      </c>
      <c r="C198" s="54">
        <v>6</v>
      </c>
      <c r="D198" s="97" t="s">
        <v>408</v>
      </c>
      <c r="E198" s="55" t="s">
        <v>35</v>
      </c>
      <c r="F198" s="55" t="s">
        <v>36</v>
      </c>
      <c r="G198" s="55" t="s">
        <v>717</v>
      </c>
      <c r="H198" s="71" t="s">
        <v>43</v>
      </c>
      <c r="I198" s="72" t="s">
        <v>417</v>
      </c>
      <c r="J198" s="77" t="s">
        <v>14</v>
      </c>
      <c r="K198" s="69" t="str">
        <f>D198&amp;" "&amp;E198&amp;" "&amp;F198&amp;" "&amp;G198</f>
        <v>B09 SMH380 DP 2-4 Milieutekening met gegevens componenten dwg format</v>
      </c>
      <c r="L198" s="69" t="str">
        <f>D198&amp;" "&amp;E198&amp;" "&amp;F198&amp;" "&amp;G198&amp;" ("&amp;H198&amp;") "&amp;I198</f>
        <v>B09 SMH380 DP 2-4 Milieutekening met gegevens componenten dwg format (1.0) 2023-10-10</v>
      </c>
      <c r="M198" s="123">
        <v>1515378</v>
      </c>
      <c r="N198" s="61" t="s">
        <v>418</v>
      </c>
      <c r="O198" s="79" t="s">
        <v>75</v>
      </c>
      <c r="P198" s="80"/>
      <c r="S198" s="73"/>
    </row>
    <row r="199" spans="2:19" s="99" customFormat="1" ht="16.5" customHeight="1" x14ac:dyDescent="0.35">
      <c r="B199" s="120"/>
      <c r="C199" s="54"/>
      <c r="D199" s="97"/>
      <c r="E199" s="55"/>
      <c r="F199" s="55"/>
      <c r="G199" s="55"/>
      <c r="H199" s="71"/>
      <c r="I199" s="72"/>
      <c r="J199" s="77"/>
      <c r="K199" s="69"/>
      <c r="L199" s="69"/>
      <c r="M199" s="123"/>
      <c r="N199" s="61"/>
      <c r="O199" s="79"/>
      <c r="P199" s="80"/>
      <c r="S199" s="73"/>
    </row>
    <row r="200" spans="2:19" s="120" customFormat="1" ht="16.5" customHeight="1" x14ac:dyDescent="0.35">
      <c r="C200" s="54">
        <v>6</v>
      </c>
      <c r="D200" s="97" t="s">
        <v>411</v>
      </c>
      <c r="E200" s="55" t="s">
        <v>35</v>
      </c>
      <c r="F200" s="55" t="s">
        <v>36</v>
      </c>
      <c r="G200" s="55" t="s">
        <v>420</v>
      </c>
      <c r="H200" s="71" t="s">
        <v>43</v>
      </c>
      <c r="I200" s="72" t="s">
        <v>691</v>
      </c>
      <c r="J200" s="77" t="s">
        <v>14</v>
      </c>
      <c r="K200" s="69" t="str">
        <f t="shared" si="63"/>
        <v>B10 SMH380 DP 2-4 Kadastrale kaart</v>
      </c>
      <c r="L200" s="69" t="str">
        <f t="shared" si="64"/>
        <v>B10 SMH380 DP 2-4 Kadastrale kaart (1.0) 2024-01-31</v>
      </c>
      <c r="M200" s="123">
        <v>1248591</v>
      </c>
      <c r="N200" s="78" t="s">
        <v>421</v>
      </c>
      <c r="O200" s="79" t="s">
        <v>75</v>
      </c>
      <c r="P200" s="80"/>
      <c r="S200" s="81"/>
    </row>
    <row r="201" spans="2:19" s="99" customFormat="1" ht="16.5" customHeight="1" x14ac:dyDescent="0.35">
      <c r="B201" s="120">
        <v>15</v>
      </c>
      <c r="C201" s="54">
        <v>6</v>
      </c>
      <c r="D201" s="97" t="s">
        <v>411</v>
      </c>
      <c r="E201" s="55" t="s">
        <v>35</v>
      </c>
      <c r="F201" s="55" t="s">
        <v>36</v>
      </c>
      <c r="G201" s="55" t="s">
        <v>718</v>
      </c>
      <c r="H201" s="71" t="s">
        <v>43</v>
      </c>
      <c r="I201" s="72" t="s">
        <v>691</v>
      </c>
      <c r="J201" s="77" t="s">
        <v>14</v>
      </c>
      <c r="K201" s="69" t="str">
        <f t="shared" ref="K201" si="65">D201&amp;" "&amp;E201&amp;" "&amp;F201&amp;" "&amp;G201</f>
        <v>B10 SMH380 DP 2-4 Kadastrale kaart dwg format</v>
      </c>
      <c r="L201" s="69" t="str">
        <f t="shared" ref="L201" si="66">D201&amp;" "&amp;E201&amp;" "&amp;F201&amp;" "&amp;G201&amp;" ("&amp;H201&amp;") "&amp;I201</f>
        <v>B10 SMH380 DP 2-4 Kadastrale kaart dwg format (1.0) 2024-01-31</v>
      </c>
      <c r="M201" s="123">
        <v>1515381</v>
      </c>
      <c r="N201" s="78" t="s">
        <v>421</v>
      </c>
      <c r="O201" s="143" t="s">
        <v>75</v>
      </c>
      <c r="P201" s="80"/>
      <c r="S201" s="73"/>
    </row>
    <row r="202" spans="2:19" s="120" customFormat="1" ht="16.5" customHeight="1" x14ac:dyDescent="0.35">
      <c r="C202" s="54">
        <v>6</v>
      </c>
      <c r="D202" s="97" t="s">
        <v>415</v>
      </c>
      <c r="E202" s="55" t="s">
        <v>35</v>
      </c>
      <c r="F202" s="55" t="s">
        <v>36</v>
      </c>
      <c r="G202" s="55" t="s">
        <v>423</v>
      </c>
      <c r="H202" s="71" t="s">
        <v>43</v>
      </c>
      <c r="I202" s="72" t="s">
        <v>691</v>
      </c>
      <c r="J202" s="77" t="s">
        <v>14</v>
      </c>
      <c r="K202" s="69" t="str">
        <f t="shared" si="63"/>
        <v>B11 SMH380 DP 2-4 Plattegrond stationsterrein en gebouwen en details terreininfra</v>
      </c>
      <c r="L202" s="69" t="str">
        <f t="shared" si="64"/>
        <v>B11 SMH380 DP 2-4 Plattegrond stationsterrein en gebouwen en details terreininfra (1.0) 2024-01-31</v>
      </c>
      <c r="M202" s="123">
        <v>1248592</v>
      </c>
      <c r="N202" s="78" t="s">
        <v>424</v>
      </c>
      <c r="O202" s="79" t="s">
        <v>40</v>
      </c>
      <c r="P202" s="80"/>
      <c r="S202" s="81"/>
    </row>
    <row r="203" spans="2:19" s="99" customFormat="1" ht="16.5" customHeight="1" x14ac:dyDescent="0.35">
      <c r="B203" s="120">
        <v>16</v>
      </c>
      <c r="C203" s="54">
        <v>6</v>
      </c>
      <c r="D203" s="97" t="s">
        <v>415</v>
      </c>
      <c r="E203" s="55" t="s">
        <v>35</v>
      </c>
      <c r="F203" s="55" t="s">
        <v>36</v>
      </c>
      <c r="G203" s="55" t="s">
        <v>719</v>
      </c>
      <c r="H203" s="71" t="s">
        <v>43</v>
      </c>
      <c r="I203" s="72" t="s">
        <v>691</v>
      </c>
      <c r="J203" s="77" t="s">
        <v>14</v>
      </c>
      <c r="K203" s="69" t="str">
        <f>D203&amp;" "&amp;E203&amp;" "&amp;F203&amp;" "&amp;G203</f>
        <v>B11 SMH380 DP 2-4 Plattegrond stationsterrein en gebouwen en details terreininfra dwg format</v>
      </c>
      <c r="L203" s="69" t="str">
        <f>D203&amp;" "&amp;E203&amp;" "&amp;F203&amp;" "&amp;G203&amp;" ("&amp;H203&amp;") "&amp;I203</f>
        <v>B11 SMH380 DP 2-4 Plattegrond stationsterrein en gebouwen en details terreininfra dwg format (1.0) 2024-01-31</v>
      </c>
      <c r="M203" s="123">
        <v>1515395</v>
      </c>
      <c r="N203" s="78" t="s">
        <v>424</v>
      </c>
      <c r="O203" s="79" t="s">
        <v>75</v>
      </c>
      <c r="P203" s="80"/>
      <c r="S203" s="73"/>
    </row>
    <row r="204" spans="2:19" ht="16.5" customHeight="1" x14ac:dyDescent="0.35">
      <c r="B204" s="100"/>
      <c r="C204" s="50">
        <v>6</v>
      </c>
      <c r="D204" s="96" t="s">
        <v>419</v>
      </c>
      <c r="E204" s="4" t="s">
        <v>35</v>
      </c>
      <c r="F204" s="4" t="s">
        <v>36</v>
      </c>
      <c r="G204" s="4" t="s">
        <v>426</v>
      </c>
      <c r="H204" s="26" t="s">
        <v>43</v>
      </c>
      <c r="I204" s="21" t="s">
        <v>691</v>
      </c>
      <c r="J204" s="5" t="s">
        <v>14</v>
      </c>
      <c r="K204" s="68" t="str">
        <f t="shared" si="63"/>
        <v>B12 SMH380 DP 2-4 Funderingsoverzicht station (uitbreidingsdeel)</v>
      </c>
      <c r="L204" s="68" t="str">
        <f t="shared" si="64"/>
        <v>B12 SMH380 DP 2-4 Funderingsoverzicht station (uitbreidingsdeel) (1.0) 2024-01-31</v>
      </c>
      <c r="M204" s="122">
        <v>1248593</v>
      </c>
      <c r="N204" s="61" t="s">
        <v>427</v>
      </c>
      <c r="O204" s="62" t="s">
        <v>40</v>
      </c>
      <c r="P204" s="13"/>
      <c r="S204" s="6"/>
    </row>
    <row r="205" spans="2:19" ht="16.5" customHeight="1" x14ac:dyDescent="0.35">
      <c r="B205" s="100"/>
      <c r="C205" s="50">
        <v>6</v>
      </c>
      <c r="D205" s="96" t="s">
        <v>422</v>
      </c>
      <c r="E205" s="4" t="s">
        <v>35</v>
      </c>
      <c r="F205" s="4" t="s">
        <v>36</v>
      </c>
      <c r="G205" s="4" t="s">
        <v>429</v>
      </c>
      <c r="H205" s="26" t="s">
        <v>43</v>
      </c>
      <c r="I205" s="21" t="s">
        <v>691</v>
      </c>
      <c r="J205" s="5" t="s">
        <v>14</v>
      </c>
      <c r="K205" s="68" t="str">
        <f t="shared" si="63"/>
        <v>B13 SMH380 DP 2-4 Plattegronden, aanzichten en doorsneden trafocel TR412 met spoelcel SP412</v>
      </c>
      <c r="L205" s="68" t="str">
        <f t="shared" si="64"/>
        <v>B13 SMH380 DP 2-4 Plattegronden, aanzichten en doorsneden trafocel TR412 met spoelcel SP412 (1.0) 2024-01-31</v>
      </c>
      <c r="M205" s="122">
        <v>1248594</v>
      </c>
      <c r="N205" s="61" t="s">
        <v>430</v>
      </c>
      <c r="O205" s="62" t="s">
        <v>40</v>
      </c>
      <c r="P205" s="13"/>
      <c r="S205" s="6"/>
    </row>
    <row r="206" spans="2:19" ht="14.5" x14ac:dyDescent="0.35">
      <c r="B206" s="100"/>
      <c r="C206" s="50">
        <v>6</v>
      </c>
      <c r="D206" s="96" t="s">
        <v>425</v>
      </c>
      <c r="E206" s="4" t="s">
        <v>35</v>
      </c>
      <c r="F206" s="4" t="s">
        <v>36</v>
      </c>
      <c r="G206" s="4" t="s">
        <v>432</v>
      </c>
      <c r="H206" s="26" t="s">
        <v>43</v>
      </c>
      <c r="I206" s="21" t="s">
        <v>691</v>
      </c>
      <c r="J206" s="5" t="s">
        <v>14</v>
      </c>
      <c r="K206" s="68" t="str">
        <f t="shared" si="63"/>
        <v>B14 SMH380 DP 2-4 Plattegronden, aanzichten en doorsneden dubbele trafocellen TR413+TR414</v>
      </c>
      <c r="L206" s="68" t="str">
        <f t="shared" si="64"/>
        <v>B14 SMH380 DP 2-4 Plattegronden, aanzichten en doorsneden dubbele trafocellen TR413+TR414 (1.0) 2024-01-31</v>
      </c>
      <c r="M206" s="122">
        <v>1248595</v>
      </c>
      <c r="N206" s="61" t="s">
        <v>433</v>
      </c>
      <c r="O206" s="62" t="s">
        <v>40</v>
      </c>
      <c r="P206" s="13"/>
      <c r="S206" s="6"/>
    </row>
    <row r="207" spans="2:19" ht="16.5" customHeight="1" x14ac:dyDescent="0.35">
      <c r="B207" s="100"/>
      <c r="C207" s="50">
        <v>6</v>
      </c>
      <c r="D207" s="96" t="s">
        <v>428</v>
      </c>
      <c r="E207" s="4" t="s">
        <v>35</v>
      </c>
      <c r="F207" s="4" t="s">
        <v>36</v>
      </c>
      <c r="G207" s="4" t="s">
        <v>435</v>
      </c>
      <c r="H207" s="26" t="s">
        <v>43</v>
      </c>
      <c r="I207" s="21" t="s">
        <v>691</v>
      </c>
      <c r="J207" s="5" t="s">
        <v>14</v>
      </c>
      <c r="K207" s="68" t="str">
        <f t="shared" si="63"/>
        <v>B15 SMH380 DP 2-4 Funderingsoverzicht 150kV schakelveld bij trafocel TR412</v>
      </c>
      <c r="L207" s="68" t="str">
        <f t="shared" si="64"/>
        <v>B15 SMH380 DP 2-4 Funderingsoverzicht 150kV schakelveld bij trafocel TR412 (1.0) 2024-01-31</v>
      </c>
      <c r="M207" s="122">
        <v>1248596</v>
      </c>
      <c r="N207" s="61" t="s">
        <v>436</v>
      </c>
      <c r="O207" s="62" t="s">
        <v>40</v>
      </c>
      <c r="P207" s="13"/>
      <c r="S207" s="6"/>
    </row>
    <row r="208" spans="2:19" ht="16.5" customHeight="1" x14ac:dyDescent="0.35">
      <c r="B208" s="100"/>
      <c r="C208" s="50">
        <v>6</v>
      </c>
      <c r="D208" s="96" t="s">
        <v>431</v>
      </c>
      <c r="E208" s="4" t="s">
        <v>35</v>
      </c>
      <c r="F208" s="4" t="s">
        <v>36</v>
      </c>
      <c r="G208" s="4" t="s">
        <v>438</v>
      </c>
      <c r="H208" s="26" t="s">
        <v>114</v>
      </c>
      <c r="I208" s="21" t="s">
        <v>439</v>
      </c>
      <c r="J208" s="5" t="s">
        <v>14</v>
      </c>
      <c r="K208" s="68" t="str">
        <f t="shared" si="63"/>
        <v>B16 SMH380 DP 2-4 380kV Vormtekening fundering type E</v>
      </c>
      <c r="L208" s="68" t="str">
        <f t="shared" si="64"/>
        <v>B16 SMH380 DP 2-4 380kV Vormtekening fundering type E (2.0) 2023-04-07</v>
      </c>
      <c r="M208" s="122">
        <v>1248597</v>
      </c>
      <c r="N208" s="61" t="s">
        <v>440</v>
      </c>
      <c r="O208" s="62" t="s">
        <v>40</v>
      </c>
      <c r="P208" s="13"/>
      <c r="S208" s="6"/>
    </row>
    <row r="209" spans="2:19" ht="14.5" x14ac:dyDescent="0.35">
      <c r="B209" s="100"/>
      <c r="C209" s="50">
        <v>6</v>
      </c>
      <c r="D209" s="96" t="s">
        <v>434</v>
      </c>
      <c r="E209" s="4" t="s">
        <v>35</v>
      </c>
      <c r="F209" s="4" t="s">
        <v>36</v>
      </c>
      <c r="G209" s="4" t="s">
        <v>442</v>
      </c>
      <c r="H209" s="26" t="s">
        <v>43</v>
      </c>
      <c r="I209" s="21" t="s">
        <v>691</v>
      </c>
      <c r="J209" s="5" t="s">
        <v>14</v>
      </c>
      <c r="K209" s="68" t="str">
        <f t="shared" si="63"/>
        <v>B17 SMH380 DP 2-4 Plattegronden, aanzichten en doorsneden dubbele spoelcellen SP413+SP414</v>
      </c>
      <c r="L209" s="68" t="str">
        <f t="shared" si="64"/>
        <v>B17 SMH380 DP 2-4 Plattegronden, aanzichten en doorsneden dubbele spoelcellen SP413+SP414 (1.0) 2024-01-31</v>
      </c>
      <c r="M209" s="122">
        <v>1248598</v>
      </c>
      <c r="N209" s="61" t="s">
        <v>443</v>
      </c>
      <c r="O209" s="62" t="s">
        <v>40</v>
      </c>
      <c r="P209" s="13"/>
      <c r="S209" s="6"/>
    </row>
    <row r="210" spans="2:19" ht="16.5" customHeight="1" x14ac:dyDescent="0.35">
      <c r="B210" s="100"/>
      <c r="C210" s="50">
        <v>6</v>
      </c>
      <c r="D210" s="96" t="s">
        <v>437</v>
      </c>
      <c r="E210" s="4" t="s">
        <v>35</v>
      </c>
      <c r="F210" s="4" t="s">
        <v>36</v>
      </c>
      <c r="G210" s="4" t="s">
        <v>445</v>
      </c>
      <c r="H210" s="26" t="s">
        <v>43</v>
      </c>
      <c r="I210" s="21" t="s">
        <v>691</v>
      </c>
      <c r="J210" s="5" t="s">
        <v>14</v>
      </c>
      <c r="K210" s="68" t="str">
        <f t="shared" si="63"/>
        <v>B18 SMH380 DP 2-4 Funderingsoverzicht 50kV spoelveld bij spoelcel SP412</v>
      </c>
      <c r="L210" s="68" t="str">
        <f t="shared" si="64"/>
        <v>B18 SMH380 DP 2-4 Funderingsoverzicht 50kV spoelveld bij spoelcel SP412 (1.0) 2024-01-31</v>
      </c>
      <c r="M210" s="122">
        <v>1248599</v>
      </c>
      <c r="N210" s="61" t="s">
        <v>446</v>
      </c>
      <c r="O210" s="62" t="s">
        <v>40</v>
      </c>
      <c r="P210" s="13"/>
      <c r="S210" s="6"/>
    </row>
    <row r="211" spans="2:19" ht="16.5" customHeight="1" x14ac:dyDescent="0.35">
      <c r="B211" s="100"/>
      <c r="C211" s="50">
        <v>6</v>
      </c>
      <c r="D211" s="96" t="s">
        <v>441</v>
      </c>
      <c r="E211" s="4" t="s">
        <v>35</v>
      </c>
      <c r="F211" s="4" t="s">
        <v>36</v>
      </c>
      <c r="G211" s="4" t="s">
        <v>448</v>
      </c>
      <c r="H211" s="26" t="s">
        <v>43</v>
      </c>
      <c r="I211" s="21" t="s">
        <v>691</v>
      </c>
      <c r="J211" s="5" t="s">
        <v>14</v>
      </c>
      <c r="K211" s="68" t="str">
        <f t="shared" si="63"/>
        <v>B19 SMH380 DP 2-4 Plattegronden, aanzichten en doorsneden NSA- /Opslaggebouw</v>
      </c>
      <c r="L211" s="68" t="str">
        <f t="shared" si="64"/>
        <v>B19 SMH380 DP 2-4 Plattegronden, aanzichten en doorsneden NSA- /Opslaggebouw (1.0) 2024-01-31</v>
      </c>
      <c r="M211" s="122">
        <v>1248600</v>
      </c>
      <c r="N211" s="61" t="s">
        <v>449</v>
      </c>
      <c r="O211" s="62" t="s">
        <v>40</v>
      </c>
      <c r="P211" s="13"/>
      <c r="S211" s="6"/>
    </row>
    <row r="212" spans="2:19" ht="16.5" customHeight="1" x14ac:dyDescent="0.35">
      <c r="B212" s="100"/>
      <c r="C212" s="50"/>
      <c r="D212" s="96"/>
      <c r="E212" s="4"/>
      <c r="F212" s="4"/>
      <c r="G212" s="4"/>
      <c r="H212" s="26"/>
      <c r="I212" s="21"/>
      <c r="J212" s="5"/>
      <c r="K212" s="68"/>
      <c r="L212" s="68"/>
      <c r="M212" s="122"/>
      <c r="N212" s="61"/>
      <c r="O212" s="62"/>
      <c r="P212" s="13"/>
      <c r="S212" s="6"/>
    </row>
    <row r="213" spans="2:19" ht="16.5" customHeight="1" x14ac:dyDescent="0.35">
      <c r="B213" s="100"/>
      <c r="C213" s="50">
        <v>6</v>
      </c>
      <c r="D213" s="96" t="s">
        <v>444</v>
      </c>
      <c r="E213" s="4" t="s">
        <v>35</v>
      </c>
      <c r="F213" s="4" t="s">
        <v>36</v>
      </c>
      <c r="G213" s="4" t="s">
        <v>451</v>
      </c>
      <c r="H213" s="26" t="s">
        <v>43</v>
      </c>
      <c r="I213" s="21" t="s">
        <v>691</v>
      </c>
      <c r="J213" s="5" t="s">
        <v>14</v>
      </c>
      <c r="K213" s="68" t="str">
        <f t="shared" si="63"/>
        <v>B20 SMH380 DP 2-4 Plattegronden, aanzichten en doorsneden Opslaggebouw</v>
      </c>
      <c r="L213" s="68" t="str">
        <f t="shared" si="64"/>
        <v>B20 SMH380 DP 2-4 Plattegronden, aanzichten en doorsneden Opslaggebouw (1.0) 2024-01-31</v>
      </c>
      <c r="M213" s="122">
        <v>1248601</v>
      </c>
      <c r="N213" s="61" t="s">
        <v>452</v>
      </c>
      <c r="O213" s="62" t="s">
        <v>40</v>
      </c>
      <c r="P213" s="13"/>
      <c r="S213" s="6"/>
    </row>
    <row r="214" spans="2:19" ht="16.5" customHeight="1" x14ac:dyDescent="0.35">
      <c r="B214" s="100"/>
      <c r="C214" s="50">
        <v>6</v>
      </c>
      <c r="D214" s="96" t="s">
        <v>447</v>
      </c>
      <c r="E214" s="4" t="s">
        <v>35</v>
      </c>
      <c r="F214" s="4" t="s">
        <v>36</v>
      </c>
      <c r="G214" s="4" t="s">
        <v>454</v>
      </c>
      <c r="H214" s="26" t="s">
        <v>43</v>
      </c>
      <c r="I214" s="21" t="s">
        <v>691</v>
      </c>
      <c r="J214" s="5" t="s">
        <v>14</v>
      </c>
      <c r="K214" s="68" t="str">
        <f t="shared" si="63"/>
        <v>B21 SMH380 DP 2-4 Plattegronden, aanzichten en doorsneden Takhuis (takken 4 en 5)</v>
      </c>
      <c r="L214" s="68" t="str">
        <f t="shared" si="64"/>
        <v>B21 SMH380 DP 2-4 Plattegronden, aanzichten en doorsneden Takhuis (takken 4 en 5) (1.0) 2024-01-31</v>
      </c>
      <c r="M214" s="122">
        <v>1248602</v>
      </c>
      <c r="N214" s="61" t="s">
        <v>455</v>
      </c>
      <c r="O214" s="62" t="s">
        <v>40</v>
      </c>
      <c r="P214" s="13"/>
      <c r="S214" s="6"/>
    </row>
    <row r="215" spans="2:19" ht="16.5" customHeight="1" x14ac:dyDescent="0.35">
      <c r="B215" s="100"/>
      <c r="C215" s="50">
        <v>6</v>
      </c>
      <c r="D215" s="96" t="s">
        <v>450</v>
      </c>
      <c r="E215" s="4" t="s">
        <v>35</v>
      </c>
      <c r="F215" s="4" t="s">
        <v>36</v>
      </c>
      <c r="G215" s="4" t="s">
        <v>457</v>
      </c>
      <c r="H215" s="26" t="s">
        <v>43</v>
      </c>
      <c r="I215" s="21" t="s">
        <v>691</v>
      </c>
      <c r="J215" s="5" t="s">
        <v>14</v>
      </c>
      <c r="K215" s="68" t="str">
        <f t="shared" si="63"/>
        <v>B22 SMH380 DP 2-4 Plattegronden tijdelijke opslagplaats</v>
      </c>
      <c r="L215" s="68" t="str">
        <f t="shared" si="64"/>
        <v>B22 SMH380 DP 2-4 Plattegronden tijdelijke opslagplaats (1.0) 2024-01-31</v>
      </c>
      <c r="M215" s="122">
        <v>1248603</v>
      </c>
      <c r="N215" s="61" t="s">
        <v>458</v>
      </c>
      <c r="O215" s="62" t="s">
        <v>40</v>
      </c>
      <c r="P215" s="13"/>
      <c r="S215" s="6"/>
    </row>
    <row r="216" spans="2:19" s="99" customFormat="1" ht="16.5" customHeight="1" x14ac:dyDescent="0.35">
      <c r="B216" s="120">
        <v>17</v>
      </c>
      <c r="C216" s="54">
        <v>6</v>
      </c>
      <c r="D216" s="97" t="s">
        <v>450</v>
      </c>
      <c r="E216" s="55" t="s">
        <v>35</v>
      </c>
      <c r="F216" s="55" t="s">
        <v>36</v>
      </c>
      <c r="G216" s="55" t="s">
        <v>720</v>
      </c>
      <c r="H216" s="71" t="s">
        <v>43</v>
      </c>
      <c r="I216" s="72" t="s">
        <v>691</v>
      </c>
      <c r="J216" s="77" t="s">
        <v>14</v>
      </c>
      <c r="K216" s="69" t="str">
        <f t="shared" ref="K216" si="67">D216&amp;" "&amp;E216&amp;" "&amp;F216&amp;" "&amp;G216</f>
        <v>B22 SMH380 DP 2-4 Plattegrond tijdelijke opslagplaats dwg format</v>
      </c>
      <c r="L216" s="69" t="str">
        <f t="shared" ref="L216" si="68">D216&amp;" "&amp;E216&amp;" "&amp;F216&amp;" "&amp;G216&amp;" ("&amp;H216&amp;") "&amp;I216</f>
        <v>B22 SMH380 DP 2-4 Plattegrond tijdelijke opslagplaats dwg format (1.0) 2024-01-31</v>
      </c>
      <c r="M216" s="123">
        <v>1515401</v>
      </c>
      <c r="N216" s="78"/>
      <c r="O216" s="143" t="s">
        <v>75</v>
      </c>
      <c r="P216" s="80"/>
      <c r="S216" s="73"/>
    </row>
    <row r="217" spans="2:19" ht="14.5" x14ac:dyDescent="0.35">
      <c r="B217" s="100"/>
      <c r="C217" s="50">
        <v>6</v>
      </c>
      <c r="D217" s="96" t="s">
        <v>453</v>
      </c>
      <c r="E217" s="4" t="s">
        <v>35</v>
      </c>
      <c r="F217" s="4" t="s">
        <v>36</v>
      </c>
      <c r="G217" s="4" t="s">
        <v>460</v>
      </c>
      <c r="H217" s="26" t="s">
        <v>114</v>
      </c>
      <c r="I217" s="21" t="s">
        <v>461</v>
      </c>
      <c r="J217" s="5" t="s">
        <v>14</v>
      </c>
      <c r="K217" s="68" t="str">
        <f t="shared" si="63"/>
        <v>B23 SMH380 DP 2-4 380kV Principe diepte, verankering en aarding voor fundering Primair ondersteuning</v>
      </c>
      <c r="L217" s="68" t="str">
        <f t="shared" si="64"/>
        <v>B23 SMH380 DP 2-4 380kV Principe diepte, verankering en aarding voor fundering Primair ondersteuning (2.0) 2023-03-06</v>
      </c>
      <c r="M217" s="122">
        <v>1248604</v>
      </c>
      <c r="N217" s="61" t="s">
        <v>462</v>
      </c>
      <c r="O217" s="62" t="s">
        <v>40</v>
      </c>
      <c r="P217" s="13"/>
      <c r="S217" s="6"/>
    </row>
    <row r="218" spans="2:19" ht="16.5" customHeight="1" x14ac:dyDescent="0.35">
      <c r="B218" s="100"/>
      <c r="C218" s="50">
        <v>6</v>
      </c>
      <c r="D218" s="96" t="s">
        <v>456</v>
      </c>
      <c r="E218" s="4" t="s">
        <v>35</v>
      </c>
      <c r="F218" s="4" t="s">
        <v>36</v>
      </c>
      <c r="G218" s="4" t="s">
        <v>464</v>
      </c>
      <c r="H218" s="26" t="s">
        <v>114</v>
      </c>
      <c r="I218" s="21" t="s">
        <v>439</v>
      </c>
      <c r="J218" s="5" t="s">
        <v>14</v>
      </c>
      <c r="K218" s="68" t="str">
        <f t="shared" si="63"/>
        <v>B24 SMH380 DP 2-4 380kV Vormtekening fundering type A</v>
      </c>
      <c r="L218" s="68" t="str">
        <f t="shared" si="64"/>
        <v>B24 SMH380 DP 2-4 380kV Vormtekening fundering type A (2.0) 2023-04-07</v>
      </c>
      <c r="M218" s="122">
        <v>1248605</v>
      </c>
      <c r="N218" s="61" t="s">
        <v>465</v>
      </c>
      <c r="O218" s="62" t="s">
        <v>40</v>
      </c>
      <c r="P218" s="13"/>
      <c r="S218" s="6"/>
    </row>
    <row r="219" spans="2:19" ht="16.5" customHeight="1" x14ac:dyDescent="0.35">
      <c r="B219" s="100"/>
      <c r="C219" s="50">
        <v>6</v>
      </c>
      <c r="D219" s="96" t="s">
        <v>459</v>
      </c>
      <c r="E219" s="4" t="s">
        <v>35</v>
      </c>
      <c r="F219" s="4" t="s">
        <v>36</v>
      </c>
      <c r="G219" s="4" t="s">
        <v>467</v>
      </c>
      <c r="H219" s="26" t="s">
        <v>114</v>
      </c>
      <c r="I219" s="21" t="s">
        <v>439</v>
      </c>
      <c r="J219" s="5" t="s">
        <v>14</v>
      </c>
      <c r="K219" s="68" t="str">
        <f t="shared" si="63"/>
        <v>B25 SMH380 DP 2-4 380kV Vormtekening fundering type B en C</v>
      </c>
      <c r="L219" s="68" t="str">
        <f t="shared" si="64"/>
        <v>B25 SMH380 DP 2-4 380kV Vormtekening fundering type B en C (2.0) 2023-04-07</v>
      </c>
      <c r="M219" s="122">
        <v>1248606</v>
      </c>
      <c r="N219" s="61" t="s">
        <v>468</v>
      </c>
      <c r="O219" s="62" t="s">
        <v>40</v>
      </c>
      <c r="P219" s="13"/>
      <c r="S219" s="6"/>
    </row>
    <row r="220" spans="2:19" ht="16.5" customHeight="1" x14ac:dyDescent="0.35">
      <c r="B220" s="100"/>
      <c r="C220" s="50">
        <v>6</v>
      </c>
      <c r="D220" s="96" t="s">
        <v>463</v>
      </c>
      <c r="E220" s="4" t="s">
        <v>35</v>
      </c>
      <c r="F220" s="4" t="s">
        <v>36</v>
      </c>
      <c r="G220" s="4" t="s">
        <v>470</v>
      </c>
      <c r="H220" s="26" t="s">
        <v>114</v>
      </c>
      <c r="I220" s="21" t="s">
        <v>439</v>
      </c>
      <c r="J220" s="5" t="s">
        <v>14</v>
      </c>
      <c r="K220" s="68" t="str">
        <f t="shared" si="63"/>
        <v>B26 SMH380 DP 2-4 380kV Vormtekening fundering type F</v>
      </c>
      <c r="L220" s="68" t="str">
        <f t="shared" si="64"/>
        <v>B26 SMH380 DP 2-4 380kV Vormtekening fundering type F (2.0) 2023-04-07</v>
      </c>
      <c r="M220" s="122">
        <v>1248607</v>
      </c>
      <c r="N220" s="61" t="s">
        <v>471</v>
      </c>
      <c r="O220" s="62" t="s">
        <v>40</v>
      </c>
      <c r="P220" s="13"/>
      <c r="S220" s="6"/>
    </row>
    <row r="221" spans="2:19" ht="16.5" customHeight="1" x14ac:dyDescent="0.35">
      <c r="B221" s="100"/>
      <c r="C221" s="50">
        <v>6</v>
      </c>
      <c r="D221" s="96" t="s">
        <v>466</v>
      </c>
      <c r="E221" s="4" t="s">
        <v>35</v>
      </c>
      <c r="F221" s="4" t="s">
        <v>36</v>
      </c>
      <c r="G221" s="4" t="s">
        <v>473</v>
      </c>
      <c r="H221" s="26" t="s">
        <v>114</v>
      </c>
      <c r="I221" s="21" t="s">
        <v>439</v>
      </c>
      <c r="J221" s="5" t="s">
        <v>14</v>
      </c>
      <c r="K221" s="68" t="str">
        <f t="shared" si="63"/>
        <v>B27 SMH380 DP 2-4 380kV Vormtekening fundering type G</v>
      </c>
      <c r="L221" s="68" t="str">
        <f t="shared" si="64"/>
        <v>B27 SMH380 DP 2-4 380kV Vormtekening fundering type G (2.0) 2023-04-07</v>
      </c>
      <c r="M221" s="122">
        <v>1248608</v>
      </c>
      <c r="N221" s="61" t="s">
        <v>474</v>
      </c>
      <c r="O221" s="62" t="s">
        <v>40</v>
      </c>
      <c r="P221" s="13"/>
      <c r="S221" s="6"/>
    </row>
    <row r="222" spans="2:19" ht="16.5" customHeight="1" x14ac:dyDescent="0.35">
      <c r="B222" s="100"/>
      <c r="C222" s="50">
        <v>6</v>
      </c>
      <c r="D222" s="96" t="s">
        <v>469</v>
      </c>
      <c r="E222" s="4" t="s">
        <v>35</v>
      </c>
      <c r="F222" s="4" t="s">
        <v>36</v>
      </c>
      <c r="G222" s="4" t="s">
        <v>476</v>
      </c>
      <c r="H222" s="26" t="s">
        <v>114</v>
      </c>
      <c r="I222" s="21" t="s">
        <v>439</v>
      </c>
      <c r="J222" s="5" t="s">
        <v>14</v>
      </c>
      <c r="K222" s="68" t="str">
        <f t="shared" si="63"/>
        <v>B28 SMH380 DP 2-4 380kV Vormtekening fundering type H en K</v>
      </c>
      <c r="L222" s="68" t="str">
        <f t="shared" si="64"/>
        <v>B28 SMH380 DP 2-4 380kV Vormtekening fundering type H en K (2.0) 2023-04-07</v>
      </c>
      <c r="M222" s="122">
        <v>1248609</v>
      </c>
      <c r="N222" s="61" t="s">
        <v>477</v>
      </c>
      <c r="O222" s="62" t="s">
        <v>40</v>
      </c>
      <c r="P222" s="13"/>
      <c r="S222" s="6"/>
    </row>
    <row r="223" spans="2:19" ht="16.5" customHeight="1" x14ac:dyDescent="0.35">
      <c r="B223" s="100"/>
      <c r="C223" s="50">
        <v>6</v>
      </c>
      <c r="D223" s="96" t="s">
        <v>472</v>
      </c>
      <c r="E223" s="4" t="s">
        <v>35</v>
      </c>
      <c r="F223" s="4" t="s">
        <v>36</v>
      </c>
      <c r="G223" s="4" t="s">
        <v>479</v>
      </c>
      <c r="H223" s="26" t="s">
        <v>114</v>
      </c>
      <c r="I223" s="21" t="s">
        <v>439</v>
      </c>
      <c r="J223" s="5" t="s">
        <v>14</v>
      </c>
      <c r="K223" s="68" t="str">
        <f t="shared" si="63"/>
        <v>B29 SMH380 DP 2-4 380kV Vormtekening fundering type I</v>
      </c>
      <c r="L223" s="68" t="str">
        <f>D223&amp;" "&amp;E223&amp;" "&amp;F223&amp;" "&amp;G223&amp;" ("&amp;H223&amp;") "&amp;I223</f>
        <v>B29 SMH380 DP 2-4 380kV Vormtekening fundering type I (2.0) 2023-04-07</v>
      </c>
      <c r="M223" s="122">
        <v>1248610</v>
      </c>
      <c r="N223" s="61" t="s">
        <v>480</v>
      </c>
      <c r="O223" s="62" t="s">
        <v>40</v>
      </c>
      <c r="P223" s="13"/>
      <c r="S223" s="6"/>
    </row>
    <row r="224" spans="2:19" ht="16.5" customHeight="1" x14ac:dyDescent="0.35">
      <c r="B224" s="100"/>
      <c r="C224" s="50"/>
      <c r="D224" s="96"/>
      <c r="E224" s="4"/>
      <c r="F224" s="4"/>
      <c r="G224" s="4"/>
      <c r="H224" s="26"/>
      <c r="I224" s="21"/>
      <c r="J224" s="5"/>
      <c r="K224" s="68"/>
      <c r="L224" s="68"/>
      <c r="M224" s="122"/>
      <c r="N224" s="61"/>
      <c r="O224" s="62"/>
      <c r="P224" s="13"/>
      <c r="S224" s="6"/>
    </row>
    <row r="225" spans="2:19" ht="16.5" customHeight="1" x14ac:dyDescent="0.35">
      <c r="B225" s="100"/>
      <c r="C225" s="50">
        <v>6</v>
      </c>
      <c r="D225" s="96" t="s">
        <v>475</v>
      </c>
      <c r="E225" s="4" t="s">
        <v>35</v>
      </c>
      <c r="F225" s="4" t="s">
        <v>36</v>
      </c>
      <c r="G225" s="4" t="s">
        <v>482</v>
      </c>
      <c r="H225" s="26" t="s">
        <v>43</v>
      </c>
      <c r="I225" s="21" t="s">
        <v>691</v>
      </c>
      <c r="J225" s="5" t="s">
        <v>14</v>
      </c>
      <c r="K225" s="68" t="str">
        <f t="shared" si="63"/>
        <v>B30 SMH380 DP 2-4 50kV Vormtekening fundering type 3 (spoelveld)</v>
      </c>
      <c r="L225" s="68" t="str">
        <f t="shared" si="64"/>
        <v>B30 SMH380 DP 2-4 50kV Vormtekening fundering type 3 (spoelveld) (1.0) 2024-01-31</v>
      </c>
      <c r="M225" s="122">
        <v>1248611</v>
      </c>
      <c r="N225" s="61" t="s">
        <v>483</v>
      </c>
      <c r="O225" s="62" t="s">
        <v>40</v>
      </c>
      <c r="P225" s="13"/>
      <c r="S225" s="6"/>
    </row>
    <row r="226" spans="2:19" ht="16.5" customHeight="1" x14ac:dyDescent="0.35">
      <c r="B226" s="100"/>
      <c r="C226" s="50">
        <v>6</v>
      </c>
      <c r="D226" s="96" t="s">
        <v>478</v>
      </c>
      <c r="E226" s="4" t="s">
        <v>35</v>
      </c>
      <c r="F226" s="4" t="s">
        <v>36</v>
      </c>
      <c r="G226" s="4" t="s">
        <v>485</v>
      </c>
      <c r="H226" s="26" t="s">
        <v>114</v>
      </c>
      <c r="I226" s="21" t="s">
        <v>439</v>
      </c>
      <c r="J226" s="5" t="s">
        <v>14</v>
      </c>
      <c r="K226" s="68" t="str">
        <f t="shared" si="63"/>
        <v>B31 SMH380 DP 2-4 150kV Vormtekening fundering type M</v>
      </c>
      <c r="L226" s="68" t="str">
        <f t="shared" si="64"/>
        <v>B31 SMH380 DP 2-4 150kV Vormtekening fundering type M (2.0) 2023-04-07</v>
      </c>
      <c r="M226" s="122">
        <v>1248612</v>
      </c>
      <c r="N226" s="61" t="s">
        <v>486</v>
      </c>
      <c r="O226" s="62" t="s">
        <v>40</v>
      </c>
      <c r="P226" s="13"/>
      <c r="S226" s="6"/>
    </row>
    <row r="227" spans="2:19" ht="16.5" customHeight="1" x14ac:dyDescent="0.35">
      <c r="B227" s="100"/>
      <c r="C227" s="50">
        <v>6</v>
      </c>
      <c r="D227" s="96" t="s">
        <v>481</v>
      </c>
      <c r="E227" s="4" t="s">
        <v>35</v>
      </c>
      <c r="F227" s="4" t="s">
        <v>36</v>
      </c>
      <c r="G227" s="4" t="s">
        <v>488</v>
      </c>
      <c r="H227" s="26" t="s">
        <v>43</v>
      </c>
      <c r="I227" s="21" t="s">
        <v>691</v>
      </c>
      <c r="J227" s="5" t="s">
        <v>14</v>
      </c>
      <c r="K227" s="68" t="str">
        <f t="shared" si="63"/>
        <v>B32 SMH380 DP 2-4 150kV Vormtekening fundering type 1 (schakelveld)</v>
      </c>
      <c r="L227" s="68" t="str">
        <f t="shared" si="64"/>
        <v>B32 SMH380 DP 2-4 150kV Vormtekening fundering type 1 (schakelveld) (1.0) 2024-01-31</v>
      </c>
      <c r="M227" s="122">
        <v>1248613</v>
      </c>
      <c r="N227" s="61" t="s">
        <v>489</v>
      </c>
      <c r="O227" s="62" t="s">
        <v>40</v>
      </c>
      <c r="P227" s="13"/>
      <c r="S227" s="6"/>
    </row>
    <row r="228" spans="2:19" ht="16.5" customHeight="1" x14ac:dyDescent="0.35">
      <c r="B228" s="100"/>
      <c r="C228" s="50">
        <v>6</v>
      </c>
      <c r="D228" s="96" t="s">
        <v>484</v>
      </c>
      <c r="E228" s="4" t="s">
        <v>35</v>
      </c>
      <c r="F228" s="4" t="s">
        <v>36</v>
      </c>
      <c r="G228" s="4" t="s">
        <v>491</v>
      </c>
      <c r="H228" s="26" t="s">
        <v>43</v>
      </c>
      <c r="I228" s="21" t="s">
        <v>691</v>
      </c>
      <c r="J228" s="5" t="s">
        <v>14</v>
      </c>
      <c r="K228" s="68" t="str">
        <f t="shared" si="63"/>
        <v>B33 SMH380 DP 2-4 150kV Vormtekening fundering type 2 (schakelveld)</v>
      </c>
      <c r="L228" s="68" t="str">
        <f t="shared" si="64"/>
        <v>B33 SMH380 DP 2-4 150kV Vormtekening fundering type 2 (schakelveld) (1.0) 2024-01-31</v>
      </c>
      <c r="M228" s="122">
        <v>1248614</v>
      </c>
      <c r="N228" s="61" t="s">
        <v>492</v>
      </c>
      <c r="O228" s="62" t="s">
        <v>40</v>
      </c>
      <c r="P228" s="13"/>
      <c r="S228" s="6"/>
    </row>
    <row r="229" spans="2:19" ht="16.5" customHeight="1" x14ac:dyDescent="0.35">
      <c r="B229" s="100"/>
      <c r="C229" s="50">
        <v>6</v>
      </c>
      <c r="D229" s="96" t="s">
        <v>487</v>
      </c>
      <c r="E229" s="4" t="s">
        <v>35</v>
      </c>
      <c r="F229" s="4" t="s">
        <v>36</v>
      </c>
      <c r="G229" s="4" t="s">
        <v>494</v>
      </c>
      <c r="H229" s="26" t="s">
        <v>43</v>
      </c>
      <c r="I229" s="21" t="s">
        <v>691</v>
      </c>
      <c r="J229" s="5" t="s">
        <v>14</v>
      </c>
      <c r="K229" s="68" t="str">
        <f t="shared" si="63"/>
        <v>B34 SMH380 DP 2-4 Plattegrond kabels en leidingen (K&amp;L)</v>
      </c>
      <c r="L229" s="68" t="str">
        <f t="shared" si="64"/>
        <v>B34 SMH380 DP 2-4 Plattegrond kabels en leidingen (K&amp;L) (1.0) 2024-01-31</v>
      </c>
      <c r="M229" s="122">
        <v>1248615</v>
      </c>
      <c r="N229" s="61" t="s">
        <v>495</v>
      </c>
      <c r="O229" s="62" t="s">
        <v>40</v>
      </c>
      <c r="P229" s="13"/>
      <c r="S229" s="6"/>
    </row>
    <row r="230" spans="2:19" s="99" customFormat="1" ht="16.5" customHeight="1" x14ac:dyDescent="0.35">
      <c r="B230" s="120">
        <v>18</v>
      </c>
      <c r="C230" s="54">
        <v>6</v>
      </c>
      <c r="D230" s="97" t="s">
        <v>487</v>
      </c>
      <c r="E230" s="55" t="s">
        <v>35</v>
      </c>
      <c r="F230" s="55" t="s">
        <v>36</v>
      </c>
      <c r="G230" s="55" t="s">
        <v>721</v>
      </c>
      <c r="H230" s="71" t="s">
        <v>43</v>
      </c>
      <c r="I230" s="72" t="s">
        <v>691</v>
      </c>
      <c r="J230" s="77" t="s">
        <v>14</v>
      </c>
      <c r="K230" s="69" t="str">
        <f>D230&amp;" "&amp;E230&amp;" "&amp;F230&amp;" "&amp;G230</f>
        <v>B34 SMH380 DP 2-4 Plattegrond kabels en leidingen (K&amp;L) dwg format</v>
      </c>
      <c r="L230" s="69" t="str">
        <f>D230&amp;" "&amp;E230&amp;" "&amp;F230&amp;" "&amp;G230&amp;" ("&amp;H230&amp;") "&amp;I230</f>
        <v>B34 SMH380 DP 2-4 Plattegrond kabels en leidingen (K&amp;L) dwg format (1.0) 2024-01-31</v>
      </c>
      <c r="M230" s="123">
        <v>1515405</v>
      </c>
      <c r="N230" s="90"/>
      <c r="O230" s="79" t="s">
        <v>75</v>
      </c>
      <c r="P230" s="80"/>
      <c r="S230" s="73"/>
    </row>
    <row r="231" spans="2:19" ht="16.5" customHeight="1" x14ac:dyDescent="0.35">
      <c r="C231" s="50">
        <v>6</v>
      </c>
      <c r="D231" s="96" t="s">
        <v>490</v>
      </c>
      <c r="E231" s="4" t="s">
        <v>35</v>
      </c>
      <c r="F231" s="4" t="s">
        <v>36</v>
      </c>
      <c r="G231" s="4" t="s">
        <v>497</v>
      </c>
      <c r="H231" s="26" t="s">
        <v>114</v>
      </c>
      <c r="I231" s="21" t="s">
        <v>439</v>
      </c>
      <c r="J231" s="5" t="s">
        <v>14</v>
      </c>
      <c r="K231" s="68" t="str">
        <f t="shared" si="63"/>
        <v>B35 SMH380 DP 2-4 380kV Standaard kabelgootelementen</v>
      </c>
      <c r="L231" s="68" t="str">
        <f t="shared" si="64"/>
        <v>B35 SMH380 DP 2-4 380kV Standaard kabelgootelementen (2.0) 2023-04-07</v>
      </c>
      <c r="M231" s="122">
        <v>1248616</v>
      </c>
      <c r="N231" s="61" t="s">
        <v>498</v>
      </c>
      <c r="O231" s="62" t="s">
        <v>40</v>
      </c>
      <c r="P231" s="13"/>
      <c r="S231" s="6"/>
    </row>
    <row r="232" spans="2:19" ht="16.5" customHeight="1" x14ac:dyDescent="0.35">
      <c r="C232" s="50">
        <v>6</v>
      </c>
      <c r="D232" s="96" t="s">
        <v>493</v>
      </c>
      <c r="E232" s="4" t="s">
        <v>35</v>
      </c>
      <c r="F232" s="4" t="s">
        <v>36</v>
      </c>
      <c r="G232" s="4" t="s">
        <v>500</v>
      </c>
      <c r="H232" s="26" t="s">
        <v>114</v>
      </c>
      <c r="I232" s="21" t="s">
        <v>439</v>
      </c>
      <c r="J232" s="5" t="s">
        <v>14</v>
      </c>
      <c r="K232" s="68" t="str">
        <f t="shared" si="63"/>
        <v>B36 SMH380 DP 2-4 Kabelgootelement bij wegkruising</v>
      </c>
      <c r="L232" s="68" t="str">
        <f t="shared" si="64"/>
        <v>B36 SMH380 DP 2-4 Kabelgootelement bij wegkruising (2.0) 2023-04-07</v>
      </c>
      <c r="M232" s="122">
        <v>1248617</v>
      </c>
      <c r="N232" s="61" t="s">
        <v>501</v>
      </c>
      <c r="O232" s="62" t="s">
        <v>40</v>
      </c>
      <c r="P232" s="13"/>
      <c r="S232" s="6"/>
    </row>
    <row r="233" spans="2:19" ht="16.5" customHeight="1" x14ac:dyDescent="0.35">
      <c r="C233" s="50">
        <v>6</v>
      </c>
      <c r="D233" s="96" t="s">
        <v>496</v>
      </c>
      <c r="E233" s="4" t="s">
        <v>35</v>
      </c>
      <c r="F233" s="4" t="s">
        <v>36</v>
      </c>
      <c r="G233" s="4" t="s">
        <v>503</v>
      </c>
      <c r="H233" s="26" t="s">
        <v>43</v>
      </c>
      <c r="I233" s="21" t="s">
        <v>691</v>
      </c>
      <c r="J233" s="5" t="s">
        <v>14</v>
      </c>
      <c r="K233" s="68" t="str">
        <f t="shared" si="63"/>
        <v>B37 SMH380 DP 2-4 MOR rapport met bijlagen</v>
      </c>
      <c r="L233" s="68" t="str">
        <f t="shared" ref="L233:L256" si="69">D233&amp;" "&amp;E233&amp;" "&amp;F233&amp;" "&amp;G233&amp;" ("&amp;H233&amp;") "&amp;I233</f>
        <v>B37 SMH380 DP 2-4 MOR rapport met bijlagen (1.0) 2024-01-31</v>
      </c>
      <c r="M233" s="25">
        <v>1248618</v>
      </c>
      <c r="N233" s="61" t="s">
        <v>504</v>
      </c>
      <c r="O233" s="62" t="s">
        <v>40</v>
      </c>
      <c r="P233" s="13"/>
      <c r="S233" s="6"/>
    </row>
    <row r="234" spans="2:19" ht="16.5" customHeight="1" x14ac:dyDescent="0.35">
      <c r="C234" s="50">
        <v>6</v>
      </c>
      <c r="D234" s="96" t="s">
        <v>499</v>
      </c>
      <c r="E234" s="4" t="s">
        <v>35</v>
      </c>
      <c r="F234" s="4" t="s">
        <v>36</v>
      </c>
      <c r="G234" s="4" t="s">
        <v>506</v>
      </c>
      <c r="H234" s="26" t="s">
        <v>43</v>
      </c>
      <c r="I234" s="21" t="s">
        <v>691</v>
      </c>
      <c r="J234" s="5" t="s">
        <v>14</v>
      </c>
      <c r="K234" s="68" t="str">
        <f t="shared" si="63"/>
        <v>B38 SMH380 DP 2-4 Constructief rapport</v>
      </c>
      <c r="L234" s="68" t="str">
        <f t="shared" si="69"/>
        <v>B38 SMH380 DP 2-4 Constructief rapport (1.0) 2024-01-31</v>
      </c>
      <c r="M234" s="122">
        <v>1248619</v>
      </c>
      <c r="N234" s="61" t="s">
        <v>507</v>
      </c>
      <c r="O234" s="62" t="s">
        <v>40</v>
      </c>
      <c r="P234" s="13"/>
      <c r="S234" s="6"/>
    </row>
    <row r="235" spans="2:19" ht="16.5" customHeight="1" x14ac:dyDescent="0.35">
      <c r="C235" s="50">
        <v>6</v>
      </c>
      <c r="D235" s="96" t="s">
        <v>502</v>
      </c>
      <c r="E235" s="4" t="s">
        <v>35</v>
      </c>
      <c r="F235" s="4" t="s">
        <v>36</v>
      </c>
      <c r="G235" s="4" t="s">
        <v>509</v>
      </c>
      <c r="H235" s="26" t="s">
        <v>43</v>
      </c>
      <c r="I235" s="21" t="s">
        <v>693</v>
      </c>
      <c r="J235" s="5" t="s">
        <v>14</v>
      </c>
      <c r="K235" s="68" t="str">
        <f t="shared" si="63"/>
        <v>B39 SMH380 DP 2-4 Geotechnisch rapport</v>
      </c>
      <c r="L235" s="68" t="str">
        <f t="shared" si="69"/>
        <v>B39 SMH380 DP 2-4 Geotechnisch rapport (1.0) 2023-12-01</v>
      </c>
      <c r="M235" s="122">
        <v>1248620</v>
      </c>
      <c r="N235" s="61" t="s">
        <v>510</v>
      </c>
      <c r="O235" s="62" t="s">
        <v>40</v>
      </c>
      <c r="P235" s="13"/>
      <c r="S235" s="6"/>
    </row>
    <row r="236" spans="2:19" ht="16.5" customHeight="1" x14ac:dyDescent="0.35">
      <c r="C236" s="50"/>
      <c r="D236" s="96"/>
      <c r="E236" s="4"/>
      <c r="F236" s="4"/>
      <c r="G236" s="4"/>
      <c r="H236" s="26"/>
      <c r="I236" s="21"/>
      <c r="J236" s="5"/>
      <c r="K236" s="68"/>
      <c r="L236" s="68"/>
      <c r="M236" s="122"/>
      <c r="N236" s="61"/>
      <c r="O236" s="62"/>
      <c r="P236" s="13"/>
      <c r="S236" s="6"/>
    </row>
    <row r="237" spans="2:19" ht="16.5" customHeight="1" x14ac:dyDescent="0.35">
      <c r="C237" s="50">
        <v>6</v>
      </c>
      <c r="D237" s="96" t="s">
        <v>505</v>
      </c>
      <c r="E237" s="4" t="s">
        <v>35</v>
      </c>
      <c r="F237" s="4" t="s">
        <v>36</v>
      </c>
      <c r="G237" s="4" t="s">
        <v>512</v>
      </c>
      <c r="H237" s="71" t="s">
        <v>65</v>
      </c>
      <c r="I237" s="21" t="s">
        <v>349</v>
      </c>
      <c r="J237" s="5" t="s">
        <v>14</v>
      </c>
      <c r="K237" s="68" t="str">
        <f t="shared" si="63"/>
        <v>B40 SMH380 DP 2-4 Kleur- en materiaalstaat Bouwkundig</v>
      </c>
      <c r="L237" s="68" t="str">
        <f t="shared" si="69"/>
        <v>B40 SMH380 DP 2-4 Kleur- en materiaalstaat Bouwkundig (3.0) 2024-01-18</v>
      </c>
      <c r="M237" s="122">
        <v>1248621</v>
      </c>
      <c r="N237" s="61" t="s">
        <v>513</v>
      </c>
      <c r="O237" s="62" t="s">
        <v>40</v>
      </c>
      <c r="P237" s="13"/>
      <c r="S237" s="6"/>
    </row>
    <row r="238" spans="2:19" ht="16.5" customHeight="1" x14ac:dyDescent="0.35">
      <c r="C238" s="50">
        <v>6</v>
      </c>
      <c r="D238" s="96" t="s">
        <v>508</v>
      </c>
      <c r="E238" s="4" t="s">
        <v>35</v>
      </c>
      <c r="F238" s="4" t="s">
        <v>36</v>
      </c>
      <c r="G238" s="4" t="s">
        <v>515</v>
      </c>
      <c r="H238" s="71" t="s">
        <v>43</v>
      </c>
      <c r="I238" s="21" t="s">
        <v>403</v>
      </c>
      <c r="J238" s="5" t="s">
        <v>14</v>
      </c>
      <c r="K238" s="68" t="str">
        <f t="shared" si="63"/>
        <v>B41 SMH380 DP 2-4 Kleur- en materiaalstaat Primair</v>
      </c>
      <c r="L238" s="68" t="str">
        <f t="shared" si="69"/>
        <v>B41 SMH380 DP 2-4 Kleur- en materiaalstaat Primair (1.0) 2023-09-25</v>
      </c>
      <c r="M238" s="122">
        <v>1248622</v>
      </c>
      <c r="N238" s="61" t="s">
        <v>516</v>
      </c>
      <c r="O238" s="62" t="s">
        <v>40</v>
      </c>
      <c r="P238" s="13"/>
      <c r="S238" s="6"/>
    </row>
    <row r="239" spans="2:19" ht="16.5" customHeight="1" x14ac:dyDescent="0.35">
      <c r="C239" s="50">
        <v>6</v>
      </c>
      <c r="D239" s="96" t="s">
        <v>511</v>
      </c>
      <c r="E239" s="4" t="s">
        <v>35</v>
      </c>
      <c r="F239" s="4" t="s">
        <v>36</v>
      </c>
      <c r="G239" s="4" t="s">
        <v>518</v>
      </c>
      <c r="H239" s="71" t="s">
        <v>43</v>
      </c>
      <c r="I239" s="21" t="s">
        <v>403</v>
      </c>
      <c r="J239" s="5" t="s">
        <v>14</v>
      </c>
      <c r="K239" s="68" t="str">
        <f t="shared" si="63"/>
        <v>B42 SMH380 DP 2-4 VGM rapport</v>
      </c>
      <c r="L239" s="68" t="str">
        <f t="shared" si="69"/>
        <v>B42 SMH380 DP 2-4 VGM rapport (1.0) 2023-09-25</v>
      </c>
      <c r="M239" s="122">
        <v>1248623</v>
      </c>
      <c r="N239" s="61" t="s">
        <v>519</v>
      </c>
      <c r="O239" s="62" t="s">
        <v>40</v>
      </c>
      <c r="P239" s="13"/>
      <c r="S239" s="6"/>
    </row>
    <row r="240" spans="2:19" ht="16.5" customHeight="1" x14ac:dyDescent="0.35">
      <c r="C240" s="50">
        <v>6</v>
      </c>
      <c r="D240" s="96" t="s">
        <v>514</v>
      </c>
      <c r="E240" s="4" t="s">
        <v>35</v>
      </c>
      <c r="F240" s="4" t="s">
        <v>36</v>
      </c>
      <c r="G240" s="4" t="s">
        <v>521</v>
      </c>
      <c r="H240" s="71" t="s">
        <v>43</v>
      </c>
      <c r="I240" s="21" t="s">
        <v>691</v>
      </c>
      <c r="J240" s="5" t="s">
        <v>14</v>
      </c>
      <c r="K240" s="68" t="str">
        <f t="shared" si="63"/>
        <v>B43 SMH380 DP 2-4 Notitie Zwaar Transport</v>
      </c>
      <c r="L240" s="68" t="str">
        <f t="shared" si="69"/>
        <v>B43 SMH380 DP 2-4 Notitie Zwaar Transport (1.0) 2024-01-31</v>
      </c>
      <c r="M240" s="122">
        <v>1248624</v>
      </c>
      <c r="N240" s="61" t="s">
        <v>251</v>
      </c>
      <c r="O240" s="62" t="s">
        <v>40</v>
      </c>
      <c r="P240" s="13"/>
      <c r="S240" s="6"/>
    </row>
    <row r="241" spans="3:19" ht="14.5" x14ac:dyDescent="0.35">
      <c r="C241" s="50">
        <v>6</v>
      </c>
      <c r="D241" s="96" t="s">
        <v>517</v>
      </c>
      <c r="E241" s="4" t="s">
        <v>35</v>
      </c>
      <c r="F241" s="4" t="s">
        <v>36</v>
      </c>
      <c r="G241" s="4" t="s">
        <v>523</v>
      </c>
      <c r="H241" s="71" t="s">
        <v>114</v>
      </c>
      <c r="I241" s="21" t="s">
        <v>694</v>
      </c>
      <c r="J241" s="5" t="s">
        <v>14</v>
      </c>
      <c r="K241" s="68" t="str">
        <f t="shared" si="63"/>
        <v>B44 SMH380 DP 2-4 (Her)Berekening bestaande fundering takken 1 t/m 3 en nieuwe fundering tak 4</v>
      </c>
      <c r="L241" s="68" t="str">
        <f t="shared" si="69"/>
        <v>B44 SMH380 DP 2-4 (Her)Berekening bestaande fundering takken 1 t/m 3 en nieuwe fundering tak 4 (2.0) 2024-01-26</v>
      </c>
      <c r="M241" s="122">
        <v>1248625</v>
      </c>
      <c r="N241" s="61" t="s">
        <v>524</v>
      </c>
      <c r="O241" s="62" t="s">
        <v>75</v>
      </c>
      <c r="P241" s="13"/>
      <c r="S241" s="6"/>
    </row>
    <row r="242" spans="3:19" ht="16.5" customHeight="1" x14ac:dyDescent="0.35">
      <c r="C242" s="50">
        <v>6</v>
      </c>
      <c r="D242" s="96" t="s">
        <v>520</v>
      </c>
      <c r="E242" s="4" t="s">
        <v>35</v>
      </c>
      <c r="F242" s="4" t="s">
        <v>36</v>
      </c>
      <c r="G242" s="4" t="s">
        <v>526</v>
      </c>
      <c r="H242" s="71" t="s">
        <v>114</v>
      </c>
      <c r="I242" s="21" t="s">
        <v>461</v>
      </c>
      <c r="J242" s="5" t="s">
        <v>14</v>
      </c>
      <c r="K242" s="68" t="str">
        <f t="shared" si="63"/>
        <v>B45 SMH380 DP 2-4 380kV Uitgangspuntenrapport S380kV Primair - Constructies</v>
      </c>
      <c r="L242" s="68" t="str">
        <f>D242&amp;" "&amp;E242&amp;" "&amp;F242&amp;" "&amp;G242&amp;" ("&amp;H242&amp;") "&amp;I242</f>
        <v>B45 SMH380 DP 2-4 380kV Uitgangspuntenrapport S380kV Primair - Constructies (2.0) 2023-03-06</v>
      </c>
      <c r="M242" s="122">
        <v>1248626</v>
      </c>
      <c r="N242" s="61" t="s">
        <v>527</v>
      </c>
      <c r="O242" s="62" t="s">
        <v>75</v>
      </c>
      <c r="P242" s="13"/>
      <c r="S242" s="6"/>
    </row>
    <row r="243" spans="3:19" ht="16.5" customHeight="1" x14ac:dyDescent="0.35">
      <c r="C243" s="50">
        <v>6</v>
      </c>
      <c r="D243" s="96" t="s">
        <v>522</v>
      </c>
      <c r="E243" s="4" t="s">
        <v>35</v>
      </c>
      <c r="F243" s="4" t="s">
        <v>36</v>
      </c>
      <c r="G243" s="4" t="s">
        <v>529</v>
      </c>
      <c r="H243" s="71" t="s">
        <v>530</v>
      </c>
      <c r="I243" s="21" t="s">
        <v>531</v>
      </c>
      <c r="J243" s="5" t="s">
        <v>14</v>
      </c>
      <c r="K243" s="68" t="str">
        <f t="shared" si="63"/>
        <v xml:space="preserve">B46 SMH380 DP 2-4 380kV Uittreksel maatgevende topdwarskrachten </v>
      </c>
      <c r="L243" s="68" t="str">
        <f t="shared" si="69"/>
        <v>B46 SMH380 DP 2-4 380kV Uittreksel maatgevende topdwarskrachten  (5.0) 2023-03-21</v>
      </c>
      <c r="M243" s="122">
        <v>1248627</v>
      </c>
      <c r="N243" s="61" t="s">
        <v>532</v>
      </c>
      <c r="O243" s="62" t="s">
        <v>75</v>
      </c>
      <c r="P243" s="13"/>
      <c r="S243" s="6"/>
    </row>
    <row r="244" spans="3:19" ht="16.5" customHeight="1" x14ac:dyDescent="0.35">
      <c r="C244" s="50">
        <v>6</v>
      </c>
      <c r="D244" s="96" t="s">
        <v>525</v>
      </c>
      <c r="E244" s="4" t="s">
        <v>35</v>
      </c>
      <c r="F244" s="4" t="s">
        <v>36</v>
      </c>
      <c r="G244" s="7" t="s">
        <v>534</v>
      </c>
      <c r="H244" s="71" t="s">
        <v>43</v>
      </c>
      <c r="I244" s="21" t="s">
        <v>535</v>
      </c>
      <c r="J244" s="5" t="s">
        <v>14</v>
      </c>
      <c r="K244" s="68" t="str">
        <f t="shared" si="63"/>
        <v>B47 SMH380 DP 2-4 380kV Constructief Rapport Bliksempieken op het funderingstype A</v>
      </c>
      <c r="L244" s="68" t="str">
        <f t="shared" si="69"/>
        <v>B47 SMH380 DP 2-4 380kV Constructief Rapport Bliksempieken op het funderingstype A (1.0) 2023-01-18</v>
      </c>
      <c r="M244" s="122">
        <v>1248628</v>
      </c>
      <c r="N244" s="61" t="s">
        <v>536</v>
      </c>
      <c r="O244" s="62" t="s">
        <v>40</v>
      </c>
      <c r="P244" s="13"/>
      <c r="S244" s="6"/>
    </row>
    <row r="245" spans="3:19" ht="14.5" x14ac:dyDescent="0.35">
      <c r="C245" s="50">
        <v>6</v>
      </c>
      <c r="D245" s="96" t="s">
        <v>528</v>
      </c>
      <c r="E245" s="4" t="s">
        <v>35</v>
      </c>
      <c r="F245" s="4" t="s">
        <v>36</v>
      </c>
      <c r="G245" s="7" t="s">
        <v>538</v>
      </c>
      <c r="H245" s="71" t="s">
        <v>43</v>
      </c>
      <c r="I245" s="21" t="s">
        <v>539</v>
      </c>
      <c r="J245" s="5" t="s">
        <v>14</v>
      </c>
      <c r="K245" s="68" t="str">
        <f t="shared" si="63"/>
        <v>B48 SMH380 DP 2-4 380kV Constructief Rapport Componenten op het funderingstype B en C</v>
      </c>
      <c r="L245" s="68" t="str">
        <f t="shared" si="69"/>
        <v>B48 SMH380 DP 2-4 380kV Constructief Rapport Componenten op het funderingstype B en C (1.0) 2022-11-07</v>
      </c>
      <c r="M245" s="122">
        <v>1248629</v>
      </c>
      <c r="N245" s="61" t="s">
        <v>540</v>
      </c>
      <c r="O245" s="62" t="s">
        <v>40</v>
      </c>
      <c r="P245" s="13"/>
      <c r="S245" s="6"/>
    </row>
    <row r="246" spans="3:19" ht="16.5" customHeight="1" x14ac:dyDescent="0.35">
      <c r="C246" s="50">
        <v>6</v>
      </c>
      <c r="D246" s="96" t="s">
        <v>533</v>
      </c>
      <c r="E246" s="4" t="s">
        <v>35</v>
      </c>
      <c r="F246" s="4" t="s">
        <v>36</v>
      </c>
      <c r="G246" s="7" t="s">
        <v>542</v>
      </c>
      <c r="H246" s="71" t="s">
        <v>43</v>
      </c>
      <c r="I246" s="72" t="s">
        <v>547</v>
      </c>
      <c r="J246" s="5" t="s">
        <v>14</v>
      </c>
      <c r="K246" s="68" t="str">
        <f t="shared" si="63"/>
        <v xml:space="preserve">B49 SMH380 DP 2-4 380kV Constructief Rapport Componenten op het funderingstype E </v>
      </c>
      <c r="L246" s="68" t="str">
        <f t="shared" si="69"/>
        <v>B49 SMH380 DP 2-4 380kV Constructief Rapport Componenten op het funderingstype E  (1.0) 2022-11-16</v>
      </c>
      <c r="M246" s="122">
        <v>1248630</v>
      </c>
      <c r="N246" s="61" t="s">
        <v>544</v>
      </c>
      <c r="O246" s="62" t="s">
        <v>40</v>
      </c>
      <c r="P246" s="13"/>
      <c r="S246" s="6"/>
    </row>
    <row r="247" spans="3:19" ht="16.5" customHeight="1" x14ac:dyDescent="0.35">
      <c r="C247" s="50"/>
      <c r="D247" s="96"/>
      <c r="E247" s="4"/>
      <c r="F247" s="4"/>
      <c r="G247" s="7"/>
      <c r="H247" s="71"/>
      <c r="I247" s="72"/>
      <c r="J247" s="5"/>
      <c r="K247" s="68"/>
      <c r="L247" s="68"/>
      <c r="M247" s="122"/>
      <c r="N247" s="61"/>
      <c r="O247" s="62"/>
      <c r="P247" s="13"/>
      <c r="S247" s="6"/>
    </row>
    <row r="248" spans="3:19" ht="16.5" customHeight="1" x14ac:dyDescent="0.35">
      <c r="C248" s="50">
        <v>6</v>
      </c>
      <c r="D248" s="96" t="s">
        <v>537</v>
      </c>
      <c r="E248" s="4" t="s">
        <v>35</v>
      </c>
      <c r="F248" s="4" t="s">
        <v>36</v>
      </c>
      <c r="G248" s="7" t="s">
        <v>546</v>
      </c>
      <c r="H248" s="71" t="s">
        <v>43</v>
      </c>
      <c r="I248" s="72" t="s">
        <v>543</v>
      </c>
      <c r="J248" s="5" t="s">
        <v>14</v>
      </c>
      <c r="K248" s="68" t="str">
        <f t="shared" si="63"/>
        <v>B50 SMH380 DP 2-4 380kV Constructief Rapport Componenten op het funderingstype F</v>
      </c>
      <c r="L248" s="68" t="str">
        <f>D248&amp;" "&amp;E248&amp;" "&amp;F248&amp;" "&amp;G248&amp;" ("&amp;H248&amp;") "&amp;I248</f>
        <v>B50 SMH380 DP 2-4 380kV Constructief Rapport Componenten op het funderingstype F (1.0) 2022-12-01</v>
      </c>
      <c r="M248" s="122">
        <v>1248631</v>
      </c>
      <c r="N248" s="61" t="s">
        <v>548</v>
      </c>
      <c r="O248" s="62" t="s">
        <v>40</v>
      </c>
      <c r="P248" s="13"/>
      <c r="S248" s="6"/>
    </row>
    <row r="249" spans="3:19" ht="16.5" customHeight="1" x14ac:dyDescent="0.35">
      <c r="C249" s="50">
        <v>6</v>
      </c>
      <c r="D249" s="96" t="s">
        <v>541</v>
      </c>
      <c r="E249" s="4" t="s">
        <v>35</v>
      </c>
      <c r="F249" s="4" t="s">
        <v>36</v>
      </c>
      <c r="G249" s="7" t="s">
        <v>550</v>
      </c>
      <c r="H249" s="71" t="s">
        <v>43</v>
      </c>
      <c r="I249" s="72" t="s">
        <v>551</v>
      </c>
      <c r="J249" s="5" t="s">
        <v>14</v>
      </c>
      <c r="K249" s="68" t="str">
        <f t="shared" si="63"/>
        <v>B51 SMH380 DP 2-4 380kV Constructief Rapport Componenten op het funderingstype G</v>
      </c>
      <c r="L249" s="68" t="str">
        <f t="shared" si="69"/>
        <v>B51 SMH380 DP 2-4 380kV Constructief Rapport Componenten op het funderingstype G (1.0) 2022-12-19</v>
      </c>
      <c r="M249" s="122">
        <v>1248632</v>
      </c>
      <c r="N249" s="61" t="s">
        <v>552</v>
      </c>
      <c r="O249" s="62" t="s">
        <v>40</v>
      </c>
      <c r="P249" s="13"/>
      <c r="S249" s="6"/>
    </row>
    <row r="250" spans="3:19" ht="14.5" x14ac:dyDescent="0.35">
      <c r="C250" s="50">
        <v>6</v>
      </c>
      <c r="D250" s="96" t="s">
        <v>545</v>
      </c>
      <c r="E250" s="4" t="s">
        <v>35</v>
      </c>
      <c r="F250" s="4" t="s">
        <v>36</v>
      </c>
      <c r="G250" s="7" t="s">
        <v>554</v>
      </c>
      <c r="H250" s="71" t="s">
        <v>43</v>
      </c>
      <c r="I250" s="72" t="s">
        <v>555</v>
      </c>
      <c r="J250" s="5" t="s">
        <v>14</v>
      </c>
      <c r="K250" s="68" t="str">
        <f t="shared" si="63"/>
        <v>B52 SMH380 DP 2-4 380kV Constructief Rapport Componenten op het funderingstype H en K</v>
      </c>
      <c r="L250" s="68" t="str">
        <f t="shared" si="69"/>
        <v>B52 SMH380 DP 2-4 380kV Constructief Rapport Componenten op het funderingstype H en K (1.0) 2022-12-12</v>
      </c>
      <c r="M250" s="122">
        <v>1248633</v>
      </c>
      <c r="N250" s="61" t="s">
        <v>556</v>
      </c>
      <c r="O250" s="62" t="s">
        <v>40</v>
      </c>
      <c r="P250" s="13"/>
      <c r="S250" s="6"/>
    </row>
    <row r="251" spans="3:19" ht="16.5" customHeight="1" x14ac:dyDescent="0.35">
      <c r="C251" s="50">
        <v>6</v>
      </c>
      <c r="D251" s="96" t="s">
        <v>549</v>
      </c>
      <c r="E251" s="4" t="s">
        <v>35</v>
      </c>
      <c r="F251" s="4" t="s">
        <v>36</v>
      </c>
      <c r="G251" s="7" t="s">
        <v>558</v>
      </c>
      <c r="H251" s="71" t="s">
        <v>43</v>
      </c>
      <c r="I251" s="72" t="s">
        <v>559</v>
      </c>
      <c r="J251" s="5" t="s">
        <v>14</v>
      </c>
      <c r="K251" s="68" t="str">
        <f t="shared" si="63"/>
        <v>B53 SMH380 DP 2-4 380kV Constructief Rapport Componenten op het funderingstype I</v>
      </c>
      <c r="L251" s="68" t="str">
        <f t="shared" si="69"/>
        <v>B53 SMH380 DP 2-4 380kV Constructief Rapport Componenten op het funderingstype I (1.0) 2022-12-02</v>
      </c>
      <c r="M251" s="122">
        <v>1248634</v>
      </c>
      <c r="N251" s="61" t="s">
        <v>560</v>
      </c>
      <c r="O251" s="62" t="s">
        <v>40</v>
      </c>
      <c r="P251" s="13"/>
      <c r="S251" s="6"/>
    </row>
    <row r="252" spans="3:19" ht="16.5" customHeight="1" x14ac:dyDescent="0.35">
      <c r="C252" s="50">
        <v>6</v>
      </c>
      <c r="D252" s="96" t="s">
        <v>553</v>
      </c>
      <c r="E252" s="4" t="s">
        <v>35</v>
      </c>
      <c r="F252" s="4" t="s">
        <v>36</v>
      </c>
      <c r="G252" s="7" t="s">
        <v>562</v>
      </c>
      <c r="H252" s="71" t="s">
        <v>114</v>
      </c>
      <c r="I252" s="72" t="s">
        <v>563</v>
      </c>
      <c r="J252" s="5" t="s">
        <v>14</v>
      </c>
      <c r="K252" s="68" t="str">
        <f t="shared" si="63"/>
        <v>B54 SMH380 DP 2-4 50kV Constructief Rapport Componenten op het funderingstype N</v>
      </c>
      <c r="L252" s="68" t="str">
        <f t="shared" si="69"/>
        <v>B54 SMH380 DP 2-4 50kV Constructief Rapport Componenten op het funderingstype N (2.0) 2023-07-10</v>
      </c>
      <c r="M252" s="122">
        <v>1248635</v>
      </c>
      <c r="N252" s="61" t="s">
        <v>564</v>
      </c>
      <c r="O252" s="62" t="s">
        <v>40</v>
      </c>
      <c r="P252" s="13"/>
      <c r="S252" s="6"/>
    </row>
    <row r="253" spans="3:19" ht="16.5" customHeight="1" x14ac:dyDescent="0.35">
      <c r="C253" s="50">
        <v>6</v>
      </c>
      <c r="D253" s="96" t="s">
        <v>557</v>
      </c>
      <c r="E253" s="4" t="s">
        <v>35</v>
      </c>
      <c r="F253" s="4" t="s">
        <v>36</v>
      </c>
      <c r="G253" s="7" t="s">
        <v>566</v>
      </c>
      <c r="H253" s="26" t="s">
        <v>114</v>
      </c>
      <c r="I253" s="21" t="s">
        <v>567</v>
      </c>
      <c r="J253" s="5" t="s">
        <v>14</v>
      </c>
      <c r="K253" s="68" t="str">
        <f t="shared" si="63"/>
        <v>B55 SMH380 DP 2-4 150kV Constructief Rapport Componenten op het funderingstype M</v>
      </c>
      <c r="L253" s="68" t="str">
        <f t="shared" si="69"/>
        <v>B55 SMH380 DP 2-4 150kV Constructief Rapport Componenten op het funderingstype M (2.0) 2023-01-26</v>
      </c>
      <c r="M253" s="122">
        <v>1248636</v>
      </c>
      <c r="N253" s="61" t="s">
        <v>568</v>
      </c>
      <c r="O253" s="62" t="s">
        <v>40</v>
      </c>
      <c r="P253" s="13"/>
      <c r="S253" s="6"/>
    </row>
    <row r="254" spans="3:19" ht="16.5" customHeight="1" x14ac:dyDescent="0.35">
      <c r="C254" s="50">
        <v>6</v>
      </c>
      <c r="D254" s="96" t="s">
        <v>561</v>
      </c>
      <c r="E254" s="4" t="s">
        <v>35</v>
      </c>
      <c r="F254" s="4" t="s">
        <v>36</v>
      </c>
      <c r="G254" s="4" t="s">
        <v>570</v>
      </c>
      <c r="H254" s="26" t="s">
        <v>43</v>
      </c>
      <c r="I254" s="21" t="s">
        <v>695</v>
      </c>
      <c r="J254" s="5" t="s">
        <v>14</v>
      </c>
      <c r="K254" s="68" t="str">
        <f t="shared" si="63"/>
        <v>B56 SMH380 DP 2-4 Capaciteitsberekening OBAS Transformatorcel en Spoelcel</v>
      </c>
      <c r="L254" s="68" t="str">
        <f t="shared" si="69"/>
        <v>B56 SMH380 DP 2-4 Capaciteitsberekening OBAS Transformatorcel en Spoelcel (1.0) 2024-12-01</v>
      </c>
      <c r="M254" s="122">
        <v>1248637</v>
      </c>
      <c r="N254" s="61" t="s">
        <v>571</v>
      </c>
      <c r="O254" s="62" t="s">
        <v>75</v>
      </c>
      <c r="P254" s="13"/>
      <c r="S254" s="6"/>
    </row>
    <row r="255" spans="3:19" ht="16.5" customHeight="1" x14ac:dyDescent="0.35">
      <c r="C255" s="50">
        <v>6</v>
      </c>
      <c r="D255" s="96" t="s">
        <v>565</v>
      </c>
      <c r="E255" s="4" t="s">
        <v>35</v>
      </c>
      <c r="F255" s="4" t="s">
        <v>36</v>
      </c>
      <c r="G255" s="7" t="s">
        <v>572</v>
      </c>
      <c r="H255" s="26" t="s">
        <v>57</v>
      </c>
      <c r="I255" s="144" t="s">
        <v>57</v>
      </c>
      <c r="J255" s="5" t="s">
        <v>14</v>
      </c>
      <c r="K255" s="68" t="str">
        <f>D255&amp;" "&amp;E255&amp;" "&amp;F255&amp;" "&amp;G255</f>
        <v>B57 SMH380 DP 2-4 Onderzoeken Grondgesteldheid &amp; Klic-melding (K&amp;L) &amp; Kadastergegevens</v>
      </c>
      <c r="L255" s="68" t="str">
        <f>D255&amp;" "&amp;E255&amp;" "&amp;F255&amp;" "&amp;G255&amp;" ("&amp;H255&amp;") "&amp;I255</f>
        <v>B57 SMH380 DP 2-4 Onderzoeken Grondgesteldheid &amp; Klic-melding (K&amp;L) &amp; Kadastergegevens (-.-) -.-</v>
      </c>
      <c r="M255" s="122">
        <v>1248638</v>
      </c>
      <c r="N255" s="65" t="s">
        <v>573</v>
      </c>
      <c r="O255" s="62" t="s">
        <v>75</v>
      </c>
      <c r="P255" s="13"/>
      <c r="S255" s="6"/>
    </row>
    <row r="256" spans="3:19" ht="15" customHeight="1" x14ac:dyDescent="0.35">
      <c r="C256" s="50">
        <v>6</v>
      </c>
      <c r="D256" s="96" t="s">
        <v>569</v>
      </c>
      <c r="E256" s="4" t="s">
        <v>35</v>
      </c>
      <c r="F256" s="4" t="s">
        <v>36</v>
      </c>
      <c r="G256" s="4" t="s">
        <v>574</v>
      </c>
      <c r="H256" s="26" t="s">
        <v>20</v>
      </c>
      <c r="I256" s="21" t="s">
        <v>691</v>
      </c>
      <c r="J256" s="5" t="s">
        <v>14</v>
      </c>
      <c r="K256" s="68" t="str">
        <f t="shared" si="63"/>
        <v>B58 SMH380 DP 2-4 Parkeerplaatsen CDG</v>
      </c>
      <c r="L256" s="68" t="str">
        <f t="shared" si="69"/>
        <v>B58 SMH380 DP 2-4 Parkeerplaatsen CDG (1.1) 2024-01-31</v>
      </c>
      <c r="M256" s="123">
        <v>1287677</v>
      </c>
      <c r="N256" s="61" t="s">
        <v>59</v>
      </c>
      <c r="O256" s="66" t="s">
        <v>75</v>
      </c>
      <c r="P256" s="13"/>
      <c r="S256" s="6"/>
    </row>
    <row r="257" spans="2:19" s="99" customFormat="1" ht="16.5" customHeight="1" x14ac:dyDescent="0.35">
      <c r="B257" s="120">
        <v>19</v>
      </c>
      <c r="C257" s="54">
        <v>6</v>
      </c>
      <c r="D257" s="97" t="s">
        <v>712</v>
      </c>
      <c r="E257" s="55" t="s">
        <v>35</v>
      </c>
      <c r="F257" s="55" t="s">
        <v>36</v>
      </c>
      <c r="G257" s="55" t="s">
        <v>733</v>
      </c>
      <c r="H257" s="71" t="s">
        <v>734</v>
      </c>
      <c r="I257" s="72" t="s">
        <v>702</v>
      </c>
      <c r="J257" s="77" t="s">
        <v>14</v>
      </c>
      <c r="K257" s="69" t="str">
        <f t="shared" ref="K257:K270" si="70">D257&amp;" "&amp;E257&amp;" "&amp;F257&amp;" "&amp;G257</f>
        <v>B59 SMH380 DP 2-4 Jacking arrangement installation for transformer TLB380</v>
      </c>
      <c r="L257" s="69" t="str">
        <f>D257&amp;" "&amp;E257&amp;" "&amp;F257&amp;" "&amp;G257&amp;" ("&amp;H257&amp;") "&amp;I257</f>
        <v>B59 SMH380 DP 2-4 Jacking arrangement installation for transformer TLB380 (0.1) 2024-07-02</v>
      </c>
      <c r="M257" s="123">
        <v>1515406</v>
      </c>
      <c r="N257" s="91"/>
      <c r="O257" s="79" t="s">
        <v>75</v>
      </c>
      <c r="P257" s="80" t="s">
        <v>742</v>
      </c>
      <c r="S257" s="73"/>
    </row>
    <row r="258" spans="2:19" s="99" customFormat="1" ht="16.5" customHeight="1" x14ac:dyDescent="0.35">
      <c r="B258" s="120"/>
      <c r="C258" s="54"/>
      <c r="D258" s="97"/>
      <c r="E258" s="55"/>
      <c r="F258" s="55"/>
      <c r="G258" s="55"/>
      <c r="H258" s="71"/>
      <c r="I258" s="72"/>
      <c r="J258" s="77"/>
      <c r="K258" s="69"/>
      <c r="L258" s="69"/>
      <c r="M258" s="123"/>
      <c r="N258" s="91"/>
      <c r="O258" s="143"/>
      <c r="P258" s="80"/>
      <c r="S258" s="73"/>
    </row>
    <row r="259" spans="2:19" s="99" customFormat="1" ht="16.5" customHeight="1" x14ac:dyDescent="0.35">
      <c r="B259" s="120">
        <v>20</v>
      </c>
      <c r="C259" s="54">
        <v>6</v>
      </c>
      <c r="D259" s="97" t="s">
        <v>713</v>
      </c>
      <c r="E259" s="55" t="s">
        <v>35</v>
      </c>
      <c r="F259" s="55" t="s">
        <v>36</v>
      </c>
      <c r="G259" s="55" t="s">
        <v>737</v>
      </c>
      <c r="H259" s="71" t="s">
        <v>735</v>
      </c>
      <c r="I259" s="72" t="s">
        <v>736</v>
      </c>
      <c r="J259" s="77" t="s">
        <v>14</v>
      </c>
      <c r="K259" s="69" t="str">
        <f t="shared" si="70"/>
        <v>B60 SMH380 DP 2-4 Lifting arrangement transformer TLB380</v>
      </c>
      <c r="L259" s="69" t="str">
        <f t="shared" ref="L259" si="71">D259&amp;" "&amp;E259&amp;" "&amp;F259&amp;" "&amp;G259&amp;" ("&amp;H259&amp;") "&amp;I259</f>
        <v>B60 SMH380 DP 2-4 Lifting arrangement transformer TLB380 (0.3) 2024-10-17</v>
      </c>
      <c r="M259" s="123">
        <v>1515407</v>
      </c>
      <c r="N259" s="91"/>
      <c r="O259" s="143" t="s">
        <v>75</v>
      </c>
      <c r="P259" s="80" t="s">
        <v>742</v>
      </c>
      <c r="S259" s="73"/>
    </row>
    <row r="260" spans="2:19" s="99" customFormat="1" ht="16.5" customHeight="1" x14ac:dyDescent="0.35">
      <c r="B260" s="120">
        <v>21</v>
      </c>
      <c r="C260" s="54">
        <v>6</v>
      </c>
      <c r="D260" s="97" t="s">
        <v>714</v>
      </c>
      <c r="E260" s="55" t="s">
        <v>35</v>
      </c>
      <c r="F260" s="55" t="s">
        <v>36</v>
      </c>
      <c r="G260" s="55" t="s">
        <v>738</v>
      </c>
      <c r="H260" s="71" t="s">
        <v>651</v>
      </c>
      <c r="I260" s="72" t="s">
        <v>739</v>
      </c>
      <c r="J260" s="77" t="s">
        <v>14</v>
      </c>
      <c r="K260" s="69" t="str">
        <f t="shared" si="70"/>
        <v>B61 SMH380 DP 2-4 Lifting arrangement shunt reactor TLB380</v>
      </c>
      <c r="L260" s="69" t="str">
        <f>D260&amp;" "&amp;E260&amp;" "&amp;F260&amp;" "&amp;G260&amp;" ("&amp;H260&amp;") "&amp;I260</f>
        <v>B61 SMH380 DP 2-4 Lifting arrangement shunt reactor TLB380 (0.2) 2024-08-24</v>
      </c>
      <c r="M260" s="123">
        <v>1515410</v>
      </c>
      <c r="N260" s="91"/>
      <c r="O260" s="79" t="s">
        <v>75</v>
      </c>
      <c r="P260" s="80" t="s">
        <v>742</v>
      </c>
      <c r="S260" s="73"/>
    </row>
    <row r="261" spans="2:19" s="99" customFormat="1" ht="16.5" customHeight="1" x14ac:dyDescent="0.35">
      <c r="B261" s="120">
        <v>22</v>
      </c>
      <c r="C261" s="54">
        <v>6</v>
      </c>
      <c r="D261" s="97" t="s">
        <v>715</v>
      </c>
      <c r="E261" s="55" t="s">
        <v>35</v>
      </c>
      <c r="F261" s="55" t="s">
        <v>36</v>
      </c>
      <c r="G261" s="55" t="s">
        <v>740</v>
      </c>
      <c r="H261" s="71" t="s">
        <v>38</v>
      </c>
      <c r="I261" s="72" t="s">
        <v>736</v>
      </c>
      <c r="J261" s="77" t="s">
        <v>14</v>
      </c>
      <c r="K261" s="69" t="str">
        <f t="shared" si="70"/>
        <v>B62 SMH380 DP 2-4 Transport arrangement of transformer on trailers TLB380</v>
      </c>
      <c r="L261" s="69" t="str">
        <f t="shared" ref="L261" si="72">D261&amp;" "&amp;E261&amp;" "&amp;F261&amp;" "&amp;G261&amp;" ("&amp;H261&amp;") "&amp;I261</f>
        <v>B62 SMH380 DP 2-4 Transport arrangement of transformer on trailers TLB380 (0.0) 2024-10-17</v>
      </c>
      <c r="M261" s="123">
        <v>1515411</v>
      </c>
      <c r="N261" s="91"/>
      <c r="O261" s="143" t="s">
        <v>75</v>
      </c>
      <c r="P261" s="80" t="s">
        <v>742</v>
      </c>
      <c r="S261" s="73"/>
    </row>
    <row r="262" spans="2:19" s="99" customFormat="1" ht="16.5" customHeight="1" x14ac:dyDescent="0.35">
      <c r="B262" s="120">
        <v>23</v>
      </c>
      <c r="C262" s="54">
        <v>6</v>
      </c>
      <c r="D262" s="97" t="s">
        <v>716</v>
      </c>
      <c r="E262" s="55" t="s">
        <v>35</v>
      </c>
      <c r="F262" s="55" t="s">
        <v>36</v>
      </c>
      <c r="G262" s="55" t="s">
        <v>727</v>
      </c>
      <c r="H262" s="57" t="s">
        <v>43</v>
      </c>
      <c r="I262" s="56" t="s">
        <v>726</v>
      </c>
      <c r="J262" s="77" t="s">
        <v>14</v>
      </c>
      <c r="K262" s="69" t="str">
        <f t="shared" si="70"/>
        <v>B63 SMH380 DP 2-4 Geluidshuis combicell + bouwkundig</v>
      </c>
      <c r="L262" s="69" t="str">
        <f>D262&amp;" "&amp;E262&amp;" "&amp;F262&amp;" "&amp;G262&amp;" ("&amp;H262&amp;") "&amp;I262</f>
        <v>B63 SMH380 DP 2-4 Geluidshuis combicell + bouwkundig (1.0) 2024-04-17</v>
      </c>
      <c r="M262" s="57">
        <v>1514909</v>
      </c>
      <c r="N262" s="58"/>
      <c r="O262" s="79" t="s">
        <v>75</v>
      </c>
      <c r="P262" s="60"/>
      <c r="S262" s="73"/>
    </row>
    <row r="263" spans="2:19" s="99" customFormat="1" ht="16.5" customHeight="1" x14ac:dyDescent="0.35">
      <c r="B263" s="120">
        <v>24</v>
      </c>
      <c r="C263" s="54">
        <v>6</v>
      </c>
      <c r="D263" s="97" t="s">
        <v>729</v>
      </c>
      <c r="E263" s="55" t="s">
        <v>35</v>
      </c>
      <c r="F263" s="55" t="s">
        <v>36</v>
      </c>
      <c r="G263" s="55" t="s">
        <v>728</v>
      </c>
      <c r="H263" s="57" t="s">
        <v>43</v>
      </c>
      <c r="I263" s="56" t="s">
        <v>726</v>
      </c>
      <c r="J263" s="77" t="s">
        <v>14</v>
      </c>
      <c r="K263" s="69" t="str">
        <f t="shared" si="70"/>
        <v>B64 SMH380 DP 2-4 Geluidshuis combicell</v>
      </c>
      <c r="L263" s="69" t="str">
        <f>D263&amp;" "&amp;E263&amp;" "&amp;F263&amp;" "&amp;G263&amp;" ("&amp;H263&amp;") "&amp;I263</f>
        <v>B64 SMH380 DP 2-4 Geluidshuis combicell (1.0) 2024-04-17</v>
      </c>
      <c r="M263" s="57">
        <v>1514911</v>
      </c>
      <c r="N263" s="58"/>
      <c r="O263" s="143" t="s">
        <v>75</v>
      </c>
      <c r="P263" s="60"/>
      <c r="S263" s="73"/>
    </row>
    <row r="264" spans="2:19" s="99" customFormat="1" ht="16.5" customHeight="1" x14ac:dyDescent="0.35">
      <c r="B264" s="120">
        <v>25</v>
      </c>
      <c r="C264" s="54">
        <v>6</v>
      </c>
      <c r="D264" s="97" t="s">
        <v>730</v>
      </c>
      <c r="E264" s="55" t="s">
        <v>35</v>
      </c>
      <c r="F264" s="55" t="s">
        <v>36</v>
      </c>
      <c r="G264" s="55" t="s">
        <v>722</v>
      </c>
      <c r="H264" s="57" t="s">
        <v>43</v>
      </c>
      <c r="I264" s="56" t="s">
        <v>726</v>
      </c>
      <c r="J264" s="77" t="s">
        <v>14</v>
      </c>
      <c r="K264" s="69" t="str">
        <f t="shared" si="70"/>
        <v>B65 SMH380 DP 2-4 Geluidshuis spoelcellen + bouwkundig</v>
      </c>
      <c r="L264" s="69" t="str">
        <f>D264&amp;" "&amp;E264&amp;" "&amp;F264&amp;" "&amp;G264&amp;" ("&amp;H264&amp;") "&amp;I264</f>
        <v>B65 SMH380 DP 2-4 Geluidshuis spoelcellen + bouwkundig (1.0) 2024-04-17</v>
      </c>
      <c r="M264" s="57">
        <v>1514912</v>
      </c>
      <c r="N264" s="58"/>
      <c r="O264" s="79" t="s">
        <v>75</v>
      </c>
      <c r="P264" s="60"/>
      <c r="S264" s="73"/>
    </row>
    <row r="265" spans="2:19" s="99" customFormat="1" ht="16.5" customHeight="1" x14ac:dyDescent="0.35">
      <c r="B265" s="120">
        <v>26</v>
      </c>
      <c r="C265" s="54">
        <v>6</v>
      </c>
      <c r="D265" s="97" t="s">
        <v>731</v>
      </c>
      <c r="E265" s="55" t="s">
        <v>35</v>
      </c>
      <c r="F265" s="55" t="s">
        <v>36</v>
      </c>
      <c r="G265" s="55" t="s">
        <v>723</v>
      </c>
      <c r="H265" s="57" t="s">
        <v>43</v>
      </c>
      <c r="I265" s="56" t="s">
        <v>726</v>
      </c>
      <c r="J265" s="77" t="s">
        <v>14</v>
      </c>
      <c r="K265" s="69" t="str">
        <f t="shared" si="70"/>
        <v>B66 SMH380 DP 2-4 Geluidshuis spoelcellen</v>
      </c>
      <c r="L265" s="69" t="str">
        <f>D265&amp;" "&amp;E265&amp;" "&amp;F265&amp;" "&amp;G265&amp;" ("&amp;H265&amp;") "&amp;I265</f>
        <v>B66 SMH380 DP 2-4 Geluidshuis spoelcellen (1.0) 2024-04-17</v>
      </c>
      <c r="M265" s="57">
        <v>1514913</v>
      </c>
      <c r="N265" s="58"/>
      <c r="O265" s="143" t="s">
        <v>75</v>
      </c>
      <c r="P265" s="60"/>
      <c r="S265" s="73"/>
    </row>
    <row r="266" spans="2:19" s="99" customFormat="1" ht="16.5" customHeight="1" x14ac:dyDescent="0.35">
      <c r="B266" s="120">
        <v>27</v>
      </c>
      <c r="C266" s="54">
        <v>6</v>
      </c>
      <c r="D266" s="97" t="s">
        <v>732</v>
      </c>
      <c r="E266" s="55" t="s">
        <v>35</v>
      </c>
      <c r="F266" s="55" t="s">
        <v>36</v>
      </c>
      <c r="G266" s="55" t="s">
        <v>725</v>
      </c>
      <c r="H266" s="57" t="s">
        <v>43</v>
      </c>
      <c r="I266" s="56" t="s">
        <v>726</v>
      </c>
      <c r="J266" s="77" t="s">
        <v>14</v>
      </c>
      <c r="K266" s="69" t="str">
        <f t="shared" si="70"/>
        <v>B67 SMH380 DP 2-4 Geluidshuis trafocellen + bouwkundig</v>
      </c>
      <c r="L266" s="69" t="str">
        <f t="shared" ref="L266:L270" si="73">D266&amp;" "&amp;E266&amp;" "&amp;F266&amp;" "&amp;G266&amp;" ("&amp;H266&amp;") "&amp;I266</f>
        <v>B67 SMH380 DP 2-4 Geluidshuis trafocellen + bouwkundig (1.0) 2024-04-17</v>
      </c>
      <c r="M266" s="57">
        <v>1514914</v>
      </c>
      <c r="N266" s="58"/>
      <c r="O266" s="79" t="s">
        <v>75</v>
      </c>
      <c r="P266" s="60"/>
      <c r="S266" s="73"/>
    </row>
    <row r="267" spans="2:19" s="99" customFormat="1" ht="16.5" customHeight="1" x14ac:dyDescent="0.35">
      <c r="B267" s="120">
        <v>28</v>
      </c>
      <c r="C267" s="54">
        <v>6</v>
      </c>
      <c r="D267" s="97" t="s">
        <v>741</v>
      </c>
      <c r="E267" s="55" t="s">
        <v>35</v>
      </c>
      <c r="F267" s="55" t="s">
        <v>36</v>
      </c>
      <c r="G267" s="55" t="s">
        <v>724</v>
      </c>
      <c r="H267" s="57" t="s">
        <v>43</v>
      </c>
      <c r="I267" s="56" t="s">
        <v>726</v>
      </c>
      <c r="J267" s="77" t="s">
        <v>14</v>
      </c>
      <c r="K267" s="69" t="str">
        <f t="shared" si="70"/>
        <v>B68 SMH380 DP 2-4 Geluidshuis trafocellen</v>
      </c>
      <c r="L267" s="69" t="str">
        <f t="shared" si="73"/>
        <v>B68 SMH380 DP 2-4 Geluidshuis trafocellen (1.0) 2024-04-17</v>
      </c>
      <c r="M267" s="57">
        <v>1514915</v>
      </c>
      <c r="N267" s="58"/>
      <c r="O267" s="143" t="s">
        <v>75</v>
      </c>
      <c r="P267" s="60"/>
      <c r="S267" s="73"/>
    </row>
    <row r="268" spans="2:19" s="99" customFormat="1" ht="16.5" customHeight="1" x14ac:dyDescent="0.35">
      <c r="B268" s="120">
        <v>29</v>
      </c>
      <c r="C268" s="54">
        <v>6</v>
      </c>
      <c r="D268" s="97" t="s">
        <v>750</v>
      </c>
      <c r="E268" s="55" t="s">
        <v>35</v>
      </c>
      <c r="F268" s="55" t="s">
        <v>36</v>
      </c>
      <c r="G268" s="55" t="s">
        <v>752</v>
      </c>
      <c r="H268" s="57" t="s">
        <v>43</v>
      </c>
      <c r="I268" s="56" t="s">
        <v>753</v>
      </c>
      <c r="J268" s="77" t="s">
        <v>14</v>
      </c>
      <c r="K268" s="69" t="str">
        <f t="shared" si="70"/>
        <v xml:space="preserve">B69 SMH380 DP 2-4 Interface Matrix Merford SMIT en EU-303 </v>
      </c>
      <c r="L268" s="69" t="str">
        <f t="shared" si="73"/>
        <v>B69 SMH380 DP 2-4 Interface Matrix Merford SMIT en EU-303  (1.0) 2025-01-23</v>
      </c>
      <c r="M268" s="57">
        <v>1514937</v>
      </c>
      <c r="N268" s="58"/>
      <c r="O268" s="79" t="s">
        <v>75</v>
      </c>
      <c r="P268" s="60"/>
      <c r="S268" s="73"/>
    </row>
    <row r="269" spans="2:19" s="99" customFormat="1" ht="16.5" customHeight="1" x14ac:dyDescent="0.35">
      <c r="B269" s="120"/>
      <c r="C269" s="54"/>
      <c r="D269" s="97"/>
      <c r="E269" s="55"/>
      <c r="F269" s="55"/>
      <c r="G269" s="55"/>
      <c r="H269" s="57"/>
      <c r="I269" s="56"/>
      <c r="J269" s="77"/>
      <c r="K269" s="69"/>
      <c r="L269" s="69"/>
      <c r="M269" s="57"/>
      <c r="N269" s="58"/>
      <c r="O269" s="143"/>
      <c r="P269" s="60"/>
      <c r="S269" s="73"/>
    </row>
    <row r="270" spans="2:19" s="99" customFormat="1" ht="16.5" customHeight="1" x14ac:dyDescent="0.35">
      <c r="B270" s="120">
        <v>30</v>
      </c>
      <c r="C270" s="54">
        <v>6</v>
      </c>
      <c r="D270" s="97" t="s">
        <v>751</v>
      </c>
      <c r="E270" s="55" t="s">
        <v>35</v>
      </c>
      <c r="F270" s="55" t="s">
        <v>36</v>
      </c>
      <c r="G270" s="55" t="s">
        <v>781</v>
      </c>
      <c r="H270" s="57" t="s">
        <v>43</v>
      </c>
      <c r="I270" s="56" t="s">
        <v>753</v>
      </c>
      <c r="J270" s="77" t="s">
        <v>14</v>
      </c>
      <c r="K270" s="69" t="str">
        <f t="shared" si="70"/>
        <v>B70 SMH380 DP 2-4 Merford eisen geluidshuis</v>
      </c>
      <c r="L270" s="69" t="str">
        <f t="shared" si="73"/>
        <v>B70 SMH380 DP 2-4 Merford eisen geluidshuis (1.0) 2025-01-23</v>
      </c>
      <c r="M270" s="57">
        <v>1514939</v>
      </c>
      <c r="N270" s="58"/>
      <c r="O270" s="143" t="s">
        <v>75</v>
      </c>
      <c r="P270" s="60"/>
      <c r="S270" s="73"/>
    </row>
    <row r="271" spans="2:19" ht="16.5" customHeight="1" x14ac:dyDescent="0.35">
      <c r="C271" s="50"/>
      <c r="D271" s="96"/>
      <c r="E271" s="4"/>
      <c r="F271" s="4"/>
      <c r="G271" s="7"/>
      <c r="H271" s="25"/>
      <c r="I271" s="21"/>
      <c r="J271" s="5"/>
      <c r="K271" s="68"/>
      <c r="L271" s="68"/>
      <c r="M271" s="9"/>
      <c r="N271" s="9"/>
      <c r="O271" s="9"/>
      <c r="P271" s="10"/>
      <c r="S271" s="6"/>
    </row>
    <row r="272" spans="2:19" ht="16.5" customHeight="1" x14ac:dyDescent="0.35">
      <c r="C272" s="50">
        <v>7</v>
      </c>
      <c r="D272" s="96" t="s">
        <v>575</v>
      </c>
      <c r="E272" s="4" t="s">
        <v>35</v>
      </c>
      <c r="F272" s="4" t="s">
        <v>36</v>
      </c>
      <c r="G272" s="7" t="s">
        <v>576</v>
      </c>
      <c r="H272" s="26" t="s">
        <v>20</v>
      </c>
      <c r="I272" s="21" t="s">
        <v>231</v>
      </c>
      <c r="J272" s="5" t="s">
        <v>14</v>
      </c>
      <c r="K272" s="68" t="str">
        <f t="shared" ref="K272:K282" si="74">D272&amp;" "&amp;E272&amp;" "&amp;F272&amp;" "&amp;G272</f>
        <v>K01 SMH380 DP 2-4 Interface Matrix EU-375 and EU-303</v>
      </c>
      <c r="L272" s="68" t="str">
        <f t="shared" ref="L272:L282" si="75">D272&amp;" "&amp;E272&amp;" "&amp;F272&amp;" "&amp;G272&amp;" ("&amp;H272&amp;") "&amp;I272</f>
        <v>K01 SMH380 DP 2-4 Interface Matrix EU-375 and EU-303 (1.1) 2023-09-22</v>
      </c>
      <c r="M272" s="9">
        <v>1287684</v>
      </c>
      <c r="N272" s="9" t="s">
        <v>577</v>
      </c>
      <c r="O272" s="9" t="s">
        <v>40</v>
      </c>
      <c r="P272" s="10"/>
      <c r="S272" s="6"/>
    </row>
    <row r="273" spans="3:19" ht="16.5" customHeight="1" x14ac:dyDescent="0.35">
      <c r="C273" s="50">
        <v>7</v>
      </c>
      <c r="D273" s="96" t="s">
        <v>578</v>
      </c>
      <c r="E273" s="4" t="s">
        <v>35</v>
      </c>
      <c r="F273" s="4" t="s">
        <v>36</v>
      </c>
      <c r="G273" s="7" t="s">
        <v>579</v>
      </c>
      <c r="H273" s="26" t="s">
        <v>48</v>
      </c>
      <c r="I273" s="21" t="s">
        <v>580</v>
      </c>
      <c r="J273" s="5" t="s">
        <v>14</v>
      </c>
      <c r="K273" s="68" t="str">
        <f t="shared" si="74"/>
        <v>K02 SMH380 DP 2-4 Inschatting lengte 50kV en 380kV HV Cables</v>
      </c>
      <c r="L273" s="68" t="str">
        <f t="shared" si="75"/>
        <v>K02 SMH380 DP 2-4 Inschatting lengte 50kV en 380kV HV Cables (1.2) 2023-11-15</v>
      </c>
      <c r="M273" s="9">
        <v>1287685</v>
      </c>
      <c r="N273" s="9" t="s">
        <v>581</v>
      </c>
      <c r="O273" s="9" t="s">
        <v>40</v>
      </c>
      <c r="P273" s="10"/>
      <c r="S273" s="6"/>
    </row>
    <row r="274" spans="3:19" ht="16.5" customHeight="1" x14ac:dyDescent="0.35">
      <c r="C274" s="50">
        <v>7</v>
      </c>
      <c r="D274" s="96" t="s">
        <v>582</v>
      </c>
      <c r="E274" s="4" t="s">
        <v>35</v>
      </c>
      <c r="F274" s="4" t="s">
        <v>36</v>
      </c>
      <c r="G274" s="7" t="s">
        <v>583</v>
      </c>
      <c r="H274" s="26" t="s">
        <v>43</v>
      </c>
      <c r="I274" s="21" t="s">
        <v>170</v>
      </c>
      <c r="J274" s="5" t="s">
        <v>14</v>
      </c>
      <c r="K274" s="68" t="str">
        <f t="shared" si="74"/>
        <v>K03 SMH380 DP 2-4 Rerouting 50kV and 150kV cables</v>
      </c>
      <c r="L274" s="68" t="str">
        <f t="shared" si="75"/>
        <v>K03 SMH380 DP 2-4 Rerouting 50kV and 150kV cables (1.0) 2024-01-24</v>
      </c>
      <c r="M274" s="9">
        <v>1287686</v>
      </c>
      <c r="N274" s="9" t="s">
        <v>584</v>
      </c>
      <c r="O274" s="9" t="s">
        <v>40</v>
      </c>
      <c r="P274" s="10"/>
      <c r="S274" s="6"/>
    </row>
    <row r="275" spans="3:19" ht="16.5" customHeight="1" x14ac:dyDescent="0.35">
      <c r="C275" s="50">
        <v>7</v>
      </c>
      <c r="D275" s="96" t="s">
        <v>585</v>
      </c>
      <c r="E275" s="4" t="s">
        <v>35</v>
      </c>
      <c r="F275" s="4" t="s">
        <v>36</v>
      </c>
      <c r="G275" s="7" t="s">
        <v>586</v>
      </c>
      <c r="H275" s="25" t="s">
        <v>43</v>
      </c>
      <c r="I275" s="21" t="s">
        <v>170</v>
      </c>
      <c r="J275" s="5" t="s">
        <v>14</v>
      </c>
      <c r="K275" s="68" t="str">
        <f t="shared" si="74"/>
        <v>K04 SMH380 DP 2-4 Schematic overview Scope-split LPN and GFO</v>
      </c>
      <c r="L275" s="68" t="str">
        <f t="shared" si="75"/>
        <v>K04 SMH380 DP 2-4 Schematic overview Scope-split LPN and GFO (1.0) 2024-01-24</v>
      </c>
      <c r="M275" s="9">
        <v>1287687</v>
      </c>
      <c r="N275" s="9" t="s">
        <v>587</v>
      </c>
      <c r="O275" s="9" t="s">
        <v>40</v>
      </c>
      <c r="P275" s="10"/>
      <c r="S275" s="6"/>
    </row>
    <row r="276" spans="3:19" ht="16.5" customHeight="1" x14ac:dyDescent="0.35">
      <c r="C276" s="50">
        <v>7</v>
      </c>
      <c r="D276" s="96" t="s">
        <v>588</v>
      </c>
      <c r="E276" s="4" t="s">
        <v>35</v>
      </c>
      <c r="F276" s="4" t="s">
        <v>36</v>
      </c>
      <c r="G276" s="7" t="s">
        <v>589</v>
      </c>
      <c r="H276" s="25" t="s">
        <v>43</v>
      </c>
      <c r="I276" s="21" t="s">
        <v>170</v>
      </c>
      <c r="J276" s="5" t="s">
        <v>14</v>
      </c>
      <c r="K276" s="68" t="str">
        <f t="shared" si="74"/>
        <v>K05 SMH380 DP 2-4 Schematic overview Scope LPN and GFO</v>
      </c>
      <c r="L276" s="68" t="str">
        <f t="shared" si="75"/>
        <v>K05 SMH380 DP 2-4 Schematic overview Scope LPN and GFO (1.0) 2024-01-24</v>
      </c>
      <c r="M276" s="9">
        <v>1287688</v>
      </c>
      <c r="N276" s="9" t="s">
        <v>590</v>
      </c>
      <c r="O276" s="9" t="s">
        <v>40</v>
      </c>
      <c r="P276" s="10"/>
      <c r="S276" s="6"/>
    </row>
    <row r="277" spans="3:19" ht="16.5" customHeight="1" x14ac:dyDescent="0.35">
      <c r="C277" s="50">
        <v>7</v>
      </c>
      <c r="D277" s="96" t="s">
        <v>591</v>
      </c>
      <c r="E277" s="4" t="s">
        <v>35</v>
      </c>
      <c r="F277" s="4" t="s">
        <v>36</v>
      </c>
      <c r="G277" s="7" t="s">
        <v>592</v>
      </c>
      <c r="H277" s="25" t="s">
        <v>43</v>
      </c>
      <c r="I277" s="21" t="s">
        <v>170</v>
      </c>
      <c r="J277" s="5" t="s">
        <v>14</v>
      </c>
      <c r="K277" s="68" t="str">
        <f t="shared" si="74"/>
        <v>K06 SMH380 DP 2-4 Specific Agreements LPN and GFO</v>
      </c>
      <c r="L277" s="68" t="str">
        <f t="shared" si="75"/>
        <v>K06 SMH380 DP 2-4 Specific Agreements LPN and GFO (1.0) 2024-01-24</v>
      </c>
      <c r="M277" s="9">
        <v>1287689</v>
      </c>
      <c r="N277" s="9" t="s">
        <v>593</v>
      </c>
      <c r="O277" s="9" t="s">
        <v>40</v>
      </c>
      <c r="P277" s="10"/>
      <c r="S277" s="6"/>
    </row>
    <row r="278" spans="3:19" ht="16.5" customHeight="1" x14ac:dyDescent="0.35">
      <c r="C278" s="50">
        <v>7</v>
      </c>
      <c r="D278" s="96" t="s">
        <v>594</v>
      </c>
      <c r="E278" s="4" t="s">
        <v>35</v>
      </c>
      <c r="F278" s="4" t="s">
        <v>36</v>
      </c>
      <c r="G278" s="7" t="s">
        <v>595</v>
      </c>
      <c r="H278" s="26" t="s">
        <v>57</v>
      </c>
      <c r="I278" s="21" t="s">
        <v>596</v>
      </c>
      <c r="J278" s="5" t="s">
        <v>14</v>
      </c>
      <c r="K278" s="68" t="str">
        <f t="shared" si="74"/>
        <v>K07 SMH380 DP 2-4 DVS 2205-1 Beiblatt 7 2013-02</v>
      </c>
      <c r="L278" s="68" t="str">
        <f t="shared" si="75"/>
        <v>K07 SMH380 DP 2-4 DVS 2205-1 Beiblatt 7 2013-02 (-.-) 2013-02</v>
      </c>
      <c r="M278" s="9">
        <v>1287690</v>
      </c>
      <c r="N278" s="9" t="s">
        <v>59</v>
      </c>
      <c r="O278" s="9" t="s">
        <v>40</v>
      </c>
      <c r="P278" s="10"/>
      <c r="S278" s="6"/>
    </row>
    <row r="279" spans="3:19" ht="16.5" customHeight="1" x14ac:dyDescent="0.35">
      <c r="C279" s="50">
        <v>7</v>
      </c>
      <c r="D279" s="96" t="s">
        <v>597</v>
      </c>
      <c r="E279" s="4" t="s">
        <v>35</v>
      </c>
      <c r="F279" s="4" t="s">
        <v>36</v>
      </c>
      <c r="G279" s="7" t="s">
        <v>598</v>
      </c>
      <c r="H279" s="26" t="s">
        <v>57</v>
      </c>
      <c r="I279" s="21" t="s">
        <v>599</v>
      </c>
      <c r="J279" s="5" t="s">
        <v>14</v>
      </c>
      <c r="K279" s="68" t="str">
        <f t="shared" si="74"/>
        <v>K08 SMH380 DP 2-4 DVS 2205-1 Supplement 7 2013-03</v>
      </c>
      <c r="L279" s="68" t="str">
        <f t="shared" si="75"/>
        <v>K08 SMH380 DP 2-4 DVS 2205-1 Supplement 7 2013-03 (-.-) 2013-03</v>
      </c>
      <c r="M279" s="9">
        <v>1287691</v>
      </c>
      <c r="N279" s="9" t="s">
        <v>59</v>
      </c>
      <c r="O279" s="9" t="s">
        <v>40</v>
      </c>
      <c r="P279" s="10"/>
      <c r="S279" s="6"/>
    </row>
    <row r="280" spans="3:19" ht="16.5" customHeight="1" x14ac:dyDescent="0.35">
      <c r="C280" s="50">
        <v>7</v>
      </c>
      <c r="D280" s="96" t="s">
        <v>600</v>
      </c>
      <c r="E280" s="4" t="s">
        <v>35</v>
      </c>
      <c r="F280" s="4" t="s">
        <v>36</v>
      </c>
      <c r="G280" s="7" t="s">
        <v>601</v>
      </c>
      <c r="H280" s="25" t="s">
        <v>38</v>
      </c>
      <c r="I280" s="21" t="s">
        <v>602</v>
      </c>
      <c r="J280" s="5" t="s">
        <v>14</v>
      </c>
      <c r="K280" s="68" t="str">
        <f t="shared" si="74"/>
        <v>K09 SMH380 DP 2-4 PRY 50kV and 380kV cables Technical Spec SID23-13</v>
      </c>
      <c r="L280" s="68" t="str">
        <f t="shared" si="75"/>
        <v>K09 SMH380 DP 2-4 PRY 50kV and 380kV cables Technical Spec SID23-13 (0.0) 2023-04-19</v>
      </c>
      <c r="M280" s="9">
        <v>1287692</v>
      </c>
      <c r="N280" s="9" t="s">
        <v>59</v>
      </c>
      <c r="O280" s="9" t="s">
        <v>40</v>
      </c>
      <c r="P280" s="10"/>
      <c r="S280" s="6"/>
    </row>
    <row r="281" spans="3:19" ht="16.5" customHeight="1" x14ac:dyDescent="0.35">
      <c r="C281" s="50"/>
      <c r="D281" s="96"/>
      <c r="E281" s="4"/>
      <c r="F281" s="4"/>
      <c r="G281" s="7"/>
      <c r="H281" s="25"/>
      <c r="I281" s="21"/>
      <c r="J281" s="5"/>
      <c r="K281" s="68"/>
      <c r="L281" s="68"/>
      <c r="M281" s="9"/>
      <c r="N281" s="9"/>
      <c r="O281" s="9"/>
      <c r="P281" s="10"/>
      <c r="S281" s="6"/>
    </row>
    <row r="282" spans="3:19" ht="16.5" customHeight="1" x14ac:dyDescent="0.35">
      <c r="C282" s="50">
        <v>7</v>
      </c>
      <c r="D282" s="96" t="s">
        <v>603</v>
      </c>
      <c r="E282" s="4" t="s">
        <v>35</v>
      </c>
      <c r="F282" s="4" t="s">
        <v>36</v>
      </c>
      <c r="G282" s="7" t="s">
        <v>604</v>
      </c>
      <c r="H282" s="26" t="s">
        <v>57</v>
      </c>
      <c r="I282" s="21" t="s">
        <v>605</v>
      </c>
      <c r="J282" s="5" t="s">
        <v>14</v>
      </c>
      <c r="K282" s="68" t="str">
        <f t="shared" si="74"/>
        <v>K10 SMH380 DP 2-4 PRY Dimensions Drum Borki 4200x2085x2400 BS VS NS</v>
      </c>
      <c r="L282" s="68" t="str">
        <f t="shared" si="75"/>
        <v>K10 SMH380 DP 2-4 PRY Dimensions Drum Borki 4200x2085x2400 BS VS NS (-.-) 2011-11-22</v>
      </c>
      <c r="M282" s="9">
        <v>1287693</v>
      </c>
      <c r="N282" s="9" t="s">
        <v>59</v>
      </c>
      <c r="O282" s="9" t="s">
        <v>75</v>
      </c>
      <c r="P282" s="10"/>
      <c r="S282" s="6"/>
    </row>
    <row r="283" spans="3:19" ht="16.5" customHeight="1" x14ac:dyDescent="0.35">
      <c r="C283" s="50"/>
      <c r="D283" s="96"/>
      <c r="E283" s="4"/>
      <c r="F283" s="4"/>
      <c r="G283" s="31"/>
      <c r="H283" s="25"/>
      <c r="I283" s="14"/>
      <c r="J283" s="12"/>
      <c r="K283" s="12"/>
      <c r="L283" s="68"/>
      <c r="M283" s="9"/>
      <c r="N283" s="9"/>
      <c r="O283" s="9"/>
      <c r="P283" s="10"/>
      <c r="S283" s="6"/>
    </row>
    <row r="284" spans="3:19" ht="16.5" customHeight="1" x14ac:dyDescent="0.35">
      <c r="C284" s="50">
        <v>8</v>
      </c>
      <c r="D284" s="96" t="s">
        <v>606</v>
      </c>
      <c r="E284" s="4" t="s">
        <v>35</v>
      </c>
      <c r="F284" s="4" t="s">
        <v>36</v>
      </c>
      <c r="G284" s="7" t="s">
        <v>607</v>
      </c>
      <c r="H284" s="25" t="s">
        <v>608</v>
      </c>
      <c r="I284" s="21" t="s">
        <v>609</v>
      </c>
      <c r="J284" s="5" t="s">
        <v>14</v>
      </c>
      <c r="K284" s="68" t="str">
        <f t="shared" ref="K284:K287" si="76">D284&amp;" "&amp;E284&amp;" "&amp;F284&amp;" "&amp;G284</f>
        <v>E01 SMH380 DP 2-4 Beïnvloeding Studie omgeving</v>
      </c>
      <c r="L284" s="68" t="str">
        <f>D284&amp;" "&amp;E284&amp;" "&amp;F284&amp;" "&amp;G284&amp;" ("&amp;H284&amp;") "&amp;I284</f>
        <v>E01 SMH380 DP 2-4 Beïnvloeding Studie omgeving (2.1) 2023-02-03</v>
      </c>
      <c r="M284" s="9">
        <v>1287695</v>
      </c>
      <c r="N284" s="9" t="s">
        <v>59</v>
      </c>
      <c r="O284" s="9" t="s">
        <v>40</v>
      </c>
      <c r="P284" s="10"/>
      <c r="S284" s="6"/>
    </row>
    <row r="285" spans="3:19" ht="16.5" customHeight="1" x14ac:dyDescent="0.35">
      <c r="C285" s="50">
        <v>8</v>
      </c>
      <c r="D285" s="96" t="s">
        <v>610</v>
      </c>
      <c r="E285" s="4" t="s">
        <v>35</v>
      </c>
      <c r="F285" s="4" t="s">
        <v>36</v>
      </c>
      <c r="G285" s="7" t="s">
        <v>611</v>
      </c>
      <c r="H285" s="25" t="s">
        <v>20</v>
      </c>
      <c r="I285" s="21" t="s">
        <v>170</v>
      </c>
      <c r="J285" s="5" t="s">
        <v>14</v>
      </c>
      <c r="K285" s="68" t="str">
        <f t="shared" si="76"/>
        <v>E02 SMH380 DP 2-4 Scope EMC Studies SMH380 and AMH380</v>
      </c>
      <c r="L285" s="68" t="str">
        <f>D285&amp;" "&amp;E285&amp;" "&amp;F285&amp;" "&amp;G285&amp;" ("&amp;H285&amp;") "&amp;I285</f>
        <v>E02 SMH380 DP 2-4 Scope EMC Studies SMH380 and AMH380 (1.1) 2024-01-24</v>
      </c>
      <c r="M285" s="9">
        <v>1287696</v>
      </c>
      <c r="N285" s="9" t="s">
        <v>612</v>
      </c>
      <c r="O285" s="9" t="s">
        <v>75</v>
      </c>
      <c r="P285" s="10"/>
      <c r="S285" s="6"/>
    </row>
    <row r="286" spans="3:19" ht="16.5" customHeight="1" x14ac:dyDescent="0.35">
      <c r="C286" s="50">
        <v>8</v>
      </c>
      <c r="D286" s="96" t="s">
        <v>613</v>
      </c>
      <c r="E286" s="4" t="s">
        <v>35</v>
      </c>
      <c r="F286" s="4" t="s">
        <v>36</v>
      </c>
      <c r="G286" s="7" t="s">
        <v>614</v>
      </c>
      <c r="H286" s="26" t="s">
        <v>57</v>
      </c>
      <c r="I286" s="21" t="s">
        <v>615</v>
      </c>
      <c r="J286" s="5" t="s">
        <v>14</v>
      </c>
      <c r="K286" s="68" t="str">
        <f t="shared" si="76"/>
        <v>E03 SMH380 DP 2-4 NUON Magneetveldberekeningen</v>
      </c>
      <c r="L286" s="68" t="str">
        <f>D286&amp;" "&amp;E286&amp;" "&amp;F286&amp;" "&amp;G286&amp;" ("&amp;H286&amp;") "&amp;I286</f>
        <v>E03 SMH380 DP 2-4 NUON Magneetveldberekeningen (-.-) 2007-01-26</v>
      </c>
      <c r="M286" s="9">
        <v>1287697</v>
      </c>
      <c r="N286" s="9" t="s">
        <v>59</v>
      </c>
      <c r="O286" s="9" t="s">
        <v>75</v>
      </c>
      <c r="P286" s="10"/>
      <c r="S286" s="6"/>
    </row>
    <row r="287" spans="3:19" ht="16.5" customHeight="1" x14ac:dyDescent="0.35">
      <c r="C287" s="50">
        <v>8</v>
      </c>
      <c r="D287" s="96" t="s">
        <v>616</v>
      </c>
      <c r="E287" s="4" t="s">
        <v>35</v>
      </c>
      <c r="F287" s="4" t="s">
        <v>36</v>
      </c>
      <c r="G287" s="7" t="s">
        <v>617</v>
      </c>
      <c r="H287" s="25" t="s">
        <v>114</v>
      </c>
      <c r="I287" s="14" t="s">
        <v>618</v>
      </c>
      <c r="J287" s="5" t="s">
        <v>14</v>
      </c>
      <c r="K287" s="68" t="str">
        <f t="shared" si="76"/>
        <v>E04 SMH380 DP 2-4 Uitwerking EMC eisenzone</v>
      </c>
      <c r="L287" s="68" t="str">
        <f>D287&amp;" "&amp;E287&amp;" "&amp;F287&amp;" "&amp;G287&amp;" ("&amp;H287&amp;") "&amp;I287</f>
        <v>E04 SMH380 DP 2-4 Uitwerking EMC eisenzone (2.0) 2023-04-12</v>
      </c>
      <c r="M287" s="9">
        <v>1287698</v>
      </c>
      <c r="N287" s="9" t="s">
        <v>59</v>
      </c>
      <c r="O287" s="9" t="s">
        <v>40</v>
      </c>
      <c r="P287" s="10"/>
      <c r="S287" s="6"/>
    </row>
    <row r="288" spans="3:19" ht="16.5" customHeight="1" x14ac:dyDescent="0.35">
      <c r="C288" s="50"/>
      <c r="D288" s="96"/>
      <c r="E288" s="4"/>
      <c r="F288" s="4"/>
      <c r="G288" s="7"/>
      <c r="H288" s="25"/>
      <c r="I288" s="14"/>
      <c r="J288" s="12"/>
      <c r="K288" s="68"/>
      <c r="L288" s="68"/>
      <c r="M288" s="9"/>
      <c r="N288" s="9"/>
      <c r="O288" s="9"/>
      <c r="P288" s="10"/>
      <c r="S288" s="6"/>
    </row>
    <row r="289" spans="3:16" ht="16.5" customHeight="1" x14ac:dyDescent="0.35">
      <c r="C289" s="53"/>
      <c r="D289" s="98"/>
      <c r="E289" s="15"/>
      <c r="F289" s="15"/>
      <c r="G289" s="16"/>
      <c r="H289" s="145"/>
      <c r="I289" s="22"/>
      <c r="J289" s="17"/>
      <c r="K289" s="17"/>
      <c r="L289" s="146"/>
      <c r="M289" s="18"/>
      <c r="N289" s="18"/>
      <c r="O289" s="18"/>
      <c r="P289" s="19"/>
    </row>
    <row r="290" spans="3:16" ht="16.5" customHeight="1" x14ac:dyDescent="0.35">
      <c r="D290" s="104"/>
      <c r="E290" s="124"/>
      <c r="F290" s="124"/>
      <c r="G290" s="124"/>
      <c r="H290" s="147"/>
      <c r="I290" s="125"/>
      <c r="J290" s="104"/>
      <c r="K290" s="104"/>
      <c r="L290" s="124"/>
      <c r="M290" s="104"/>
      <c r="N290" s="104"/>
      <c r="O290" s="104"/>
    </row>
    <row r="291" spans="3:16" ht="16.5" customHeight="1" x14ac:dyDescent="0.35">
      <c r="D291" s="104"/>
      <c r="E291" s="124"/>
      <c r="F291" s="124"/>
      <c r="G291" s="124"/>
      <c r="I291" s="125"/>
      <c r="J291" s="104"/>
      <c r="K291" s="104"/>
      <c r="L291" s="124"/>
      <c r="M291" s="104"/>
      <c r="N291" s="104"/>
      <c r="O291" s="104"/>
    </row>
    <row r="292" spans="3:16" ht="16.5" customHeight="1" x14ac:dyDescent="0.35">
      <c r="D292" s="104"/>
      <c r="E292" s="124"/>
      <c r="F292" s="124"/>
      <c r="G292" s="124"/>
      <c r="I292" s="125"/>
      <c r="J292" s="104"/>
      <c r="K292" s="104"/>
      <c r="L292" s="124"/>
      <c r="M292" s="104"/>
      <c r="N292" s="104"/>
      <c r="O292" s="104"/>
    </row>
    <row r="293" spans="3:16" ht="16.5" customHeight="1" x14ac:dyDescent="0.35">
      <c r="D293" s="104"/>
      <c r="E293" s="124"/>
      <c r="F293" s="124"/>
      <c r="G293" s="124"/>
      <c r="I293" s="125"/>
      <c r="J293" s="104"/>
      <c r="K293" s="104"/>
      <c r="L293" s="124"/>
      <c r="M293" s="104"/>
      <c r="N293" s="104"/>
      <c r="O293" s="104"/>
    </row>
    <row r="294" spans="3:16" ht="16.5" customHeight="1" x14ac:dyDescent="0.35">
      <c r="D294" s="104"/>
      <c r="E294" s="124"/>
      <c r="F294" s="124"/>
      <c r="G294" s="124"/>
      <c r="I294" s="125"/>
      <c r="J294" s="104"/>
      <c r="K294" s="104"/>
      <c r="L294" s="124"/>
      <c r="M294" s="104"/>
      <c r="N294" s="104"/>
      <c r="O294" s="104"/>
    </row>
    <row r="295" spans="3:16" ht="16.5" customHeight="1" x14ac:dyDescent="0.35">
      <c r="D295" s="104"/>
      <c r="E295" s="124"/>
      <c r="F295" s="124"/>
      <c r="G295" s="124"/>
      <c r="I295" s="125"/>
      <c r="J295" s="104"/>
      <c r="K295" s="104"/>
      <c r="L295" s="124"/>
      <c r="M295" s="104"/>
      <c r="N295" s="104"/>
      <c r="O295" s="104"/>
    </row>
    <row r="296" spans="3:16" ht="16.5" customHeight="1" x14ac:dyDescent="0.35">
      <c r="D296" s="104"/>
      <c r="E296" s="124"/>
      <c r="F296" s="124"/>
      <c r="G296" s="124"/>
      <c r="I296" s="125"/>
      <c r="J296" s="104"/>
      <c r="K296" s="104"/>
      <c r="L296" s="124"/>
      <c r="M296" s="104"/>
      <c r="N296" s="104"/>
      <c r="O296" s="104"/>
    </row>
    <row r="297" spans="3:16" ht="16.5" customHeight="1" x14ac:dyDescent="0.35">
      <c r="D297" s="104"/>
      <c r="E297" s="124"/>
      <c r="F297" s="124"/>
      <c r="G297" s="124"/>
      <c r="I297" s="125"/>
      <c r="J297" s="104"/>
      <c r="K297" s="104"/>
      <c r="L297" s="124"/>
      <c r="M297" s="104"/>
      <c r="N297" s="104"/>
      <c r="O297" s="104"/>
    </row>
    <row r="298" spans="3:16" ht="16.5" customHeight="1" x14ac:dyDescent="0.35">
      <c r="D298" s="104"/>
      <c r="E298" s="124"/>
      <c r="F298" s="124"/>
      <c r="G298" s="124"/>
      <c r="I298" s="125"/>
      <c r="J298" s="104"/>
      <c r="K298" s="104"/>
      <c r="L298" s="124"/>
      <c r="M298" s="104"/>
      <c r="N298" s="104"/>
      <c r="O298" s="104"/>
    </row>
    <row r="299" spans="3:16" ht="16.5" customHeight="1" x14ac:dyDescent="0.35">
      <c r="D299" s="104"/>
      <c r="E299" s="124"/>
      <c r="F299" s="124"/>
      <c r="G299" s="124"/>
      <c r="I299" s="125"/>
      <c r="J299" s="104"/>
      <c r="K299" s="104"/>
      <c r="L299" s="124"/>
      <c r="M299" s="104"/>
      <c r="N299" s="104"/>
      <c r="O299" s="104"/>
    </row>
    <row r="300" spans="3:16" ht="16.5" customHeight="1" x14ac:dyDescent="0.35">
      <c r="D300" s="104"/>
      <c r="E300" s="124"/>
      <c r="F300" s="124"/>
      <c r="G300" s="124"/>
      <c r="I300" s="125"/>
      <c r="J300" s="104"/>
      <c r="K300" s="104"/>
      <c r="L300" s="124"/>
      <c r="M300" s="104"/>
      <c r="N300" s="104"/>
      <c r="O300" s="104"/>
    </row>
    <row r="301" spans="3:16" ht="16.5" customHeight="1" x14ac:dyDescent="0.35">
      <c r="D301" s="104"/>
      <c r="E301" s="124"/>
      <c r="F301" s="124"/>
      <c r="G301" s="124"/>
      <c r="I301" s="125"/>
      <c r="J301" s="104"/>
      <c r="K301" s="104"/>
      <c r="L301" s="124"/>
      <c r="M301" s="104"/>
      <c r="N301" s="104"/>
      <c r="O301" s="104"/>
    </row>
    <row r="302" spans="3:16" ht="16.5" customHeight="1" x14ac:dyDescent="0.35">
      <c r="D302" s="104"/>
      <c r="E302" s="124"/>
      <c r="F302" s="124"/>
      <c r="G302" s="124"/>
      <c r="I302" s="125"/>
      <c r="J302" s="104"/>
      <c r="K302" s="104"/>
      <c r="L302" s="124"/>
      <c r="M302" s="104"/>
      <c r="N302" s="104"/>
      <c r="O302" s="104"/>
    </row>
    <row r="303" spans="3:16" ht="16.5" customHeight="1" x14ac:dyDescent="0.35">
      <c r="D303" s="104"/>
      <c r="E303" s="124"/>
      <c r="F303" s="124"/>
      <c r="G303" s="124"/>
      <c r="I303" s="125"/>
      <c r="J303" s="104"/>
      <c r="K303" s="104"/>
      <c r="L303" s="124"/>
      <c r="M303" s="104"/>
      <c r="N303" s="104"/>
      <c r="O303" s="104"/>
    </row>
    <row r="304" spans="3:16" ht="16.5" customHeight="1" x14ac:dyDescent="0.35">
      <c r="D304" s="104"/>
      <c r="E304" s="124"/>
      <c r="F304" s="124"/>
      <c r="G304" s="124"/>
      <c r="I304" s="125"/>
      <c r="J304" s="104"/>
      <c r="K304" s="104"/>
      <c r="L304" s="124"/>
      <c r="M304" s="104"/>
      <c r="N304" s="104"/>
      <c r="O304" s="104"/>
    </row>
    <row r="305" spans="4:15" ht="16.5" customHeight="1" x14ac:dyDescent="0.35">
      <c r="D305" s="104"/>
      <c r="E305" s="124"/>
      <c r="F305" s="124"/>
      <c r="G305" s="124"/>
      <c r="I305" s="125"/>
      <c r="J305" s="104"/>
      <c r="K305" s="104"/>
      <c r="L305" s="124"/>
      <c r="M305" s="104"/>
      <c r="N305" s="104"/>
      <c r="O305" s="104"/>
    </row>
    <row r="306" spans="4:15" ht="16.5" customHeight="1" x14ac:dyDescent="0.35">
      <c r="D306" s="104"/>
      <c r="E306" s="124"/>
      <c r="F306" s="124"/>
      <c r="G306" s="124"/>
      <c r="I306" s="125"/>
      <c r="J306" s="104"/>
      <c r="K306" s="104"/>
      <c r="L306" s="124"/>
      <c r="M306" s="104"/>
      <c r="N306" s="104"/>
      <c r="O306" s="104"/>
    </row>
    <row r="307" spans="4:15" ht="16.5" customHeight="1" x14ac:dyDescent="0.35">
      <c r="D307" s="104"/>
      <c r="E307" s="124"/>
      <c r="F307" s="124"/>
      <c r="G307" s="124"/>
      <c r="I307" s="125"/>
      <c r="J307" s="104"/>
      <c r="K307" s="104"/>
      <c r="L307" s="124"/>
      <c r="M307" s="104"/>
      <c r="N307" s="104"/>
      <c r="O307" s="104"/>
    </row>
    <row r="308" spans="4:15" ht="16.5" customHeight="1" x14ac:dyDescent="0.35">
      <c r="D308" s="104"/>
      <c r="E308" s="124"/>
      <c r="F308" s="124"/>
      <c r="G308" s="124"/>
      <c r="I308" s="125"/>
      <c r="J308" s="104"/>
      <c r="K308" s="104"/>
      <c r="L308" s="124"/>
      <c r="M308" s="104"/>
      <c r="N308" s="104"/>
      <c r="O308" s="104"/>
    </row>
    <row r="309" spans="4:15" ht="16.5" customHeight="1" x14ac:dyDescent="0.35">
      <c r="D309" s="104"/>
      <c r="E309" s="124"/>
      <c r="F309" s="124"/>
      <c r="G309" s="124"/>
      <c r="I309" s="125"/>
      <c r="J309" s="104"/>
      <c r="K309" s="104"/>
      <c r="L309" s="124"/>
      <c r="M309" s="104"/>
      <c r="N309" s="104"/>
      <c r="O309" s="104"/>
    </row>
    <row r="310" spans="4:15" ht="16.5" customHeight="1" x14ac:dyDescent="0.35">
      <c r="D310" s="104"/>
      <c r="E310" s="124"/>
      <c r="F310" s="124"/>
      <c r="G310" s="124"/>
      <c r="I310" s="125"/>
      <c r="J310" s="104"/>
      <c r="K310" s="104"/>
      <c r="L310" s="124"/>
      <c r="M310" s="104"/>
      <c r="N310" s="104"/>
      <c r="O310" s="104"/>
    </row>
    <row r="311" spans="4:15" ht="16.5" customHeight="1" x14ac:dyDescent="0.35">
      <c r="D311" s="104"/>
      <c r="E311" s="124"/>
      <c r="F311" s="124"/>
      <c r="G311" s="124"/>
      <c r="I311" s="125"/>
      <c r="J311" s="104"/>
      <c r="K311" s="104"/>
      <c r="L311" s="124"/>
      <c r="M311" s="104"/>
      <c r="N311" s="104"/>
      <c r="O311" s="104"/>
    </row>
    <row r="312" spans="4:15" ht="16.5" customHeight="1" x14ac:dyDescent="0.35">
      <c r="D312" s="104"/>
      <c r="E312" s="124"/>
      <c r="F312" s="124"/>
      <c r="G312" s="124"/>
      <c r="I312" s="125"/>
      <c r="J312" s="104"/>
      <c r="K312" s="104"/>
      <c r="L312" s="124"/>
      <c r="M312" s="104"/>
      <c r="N312" s="104"/>
      <c r="O312" s="104"/>
    </row>
    <row r="313" spans="4:15" ht="16.5" customHeight="1" x14ac:dyDescent="0.35">
      <c r="D313" s="104"/>
      <c r="E313" s="124"/>
      <c r="F313" s="124"/>
      <c r="G313" s="124"/>
      <c r="I313" s="125"/>
      <c r="J313" s="104"/>
      <c r="K313" s="104"/>
      <c r="L313" s="124"/>
      <c r="M313" s="104"/>
      <c r="N313" s="104"/>
      <c r="O313" s="104"/>
    </row>
    <row r="314" spans="4:15" ht="16.5" customHeight="1" x14ac:dyDescent="0.35">
      <c r="D314" s="104"/>
      <c r="E314" s="124"/>
      <c r="F314" s="124"/>
      <c r="G314" s="124"/>
      <c r="I314" s="125"/>
      <c r="J314" s="104"/>
      <c r="K314" s="104"/>
      <c r="L314" s="124"/>
      <c r="M314" s="104"/>
      <c r="N314" s="104"/>
      <c r="O314" s="104"/>
    </row>
    <row r="315" spans="4:15" ht="16.5" customHeight="1" x14ac:dyDescent="0.35">
      <c r="D315" s="104"/>
      <c r="E315" s="124"/>
      <c r="F315" s="124"/>
      <c r="G315" s="124"/>
      <c r="I315" s="125"/>
      <c r="J315" s="104"/>
      <c r="K315" s="104"/>
      <c r="L315" s="124"/>
      <c r="M315" s="104"/>
      <c r="N315" s="104"/>
      <c r="O315" s="104"/>
    </row>
    <row r="316" spans="4:15" ht="16.5" customHeight="1" x14ac:dyDescent="0.35">
      <c r="D316" s="104"/>
      <c r="E316" s="124"/>
      <c r="F316" s="124"/>
      <c r="G316" s="124"/>
      <c r="I316" s="125"/>
      <c r="J316" s="104"/>
      <c r="K316" s="104"/>
      <c r="L316" s="124"/>
      <c r="M316" s="104"/>
      <c r="N316" s="104"/>
      <c r="O316" s="104"/>
    </row>
    <row r="317" spans="4:15" ht="16.5" customHeight="1" collapsed="1" x14ac:dyDescent="0.35">
      <c r="D317" s="104"/>
      <c r="E317" s="124"/>
      <c r="F317" s="124"/>
      <c r="G317" s="124"/>
      <c r="I317" s="125"/>
      <c r="J317" s="104"/>
      <c r="K317" s="104"/>
      <c r="L317" s="124"/>
      <c r="M317" s="104"/>
      <c r="N317" s="104"/>
      <c r="O317" s="104"/>
    </row>
    <row r="318" spans="4:15" ht="16.5" customHeight="1" x14ac:dyDescent="0.35">
      <c r="D318" s="104"/>
      <c r="E318" s="124"/>
      <c r="F318" s="124"/>
      <c r="G318" s="124"/>
      <c r="I318" s="125"/>
      <c r="J318" s="104"/>
      <c r="K318" s="104"/>
      <c r="L318" s="124"/>
      <c r="M318" s="104"/>
      <c r="N318" s="104"/>
      <c r="O318" s="104"/>
    </row>
    <row r="319" spans="4:15" ht="16.5" customHeight="1" x14ac:dyDescent="0.35">
      <c r="D319" s="104"/>
      <c r="E319" s="124"/>
      <c r="F319" s="124"/>
      <c r="G319" s="124"/>
      <c r="I319" s="125"/>
      <c r="J319" s="104"/>
      <c r="K319" s="104"/>
      <c r="L319" s="124"/>
      <c r="M319" s="104"/>
      <c r="N319" s="104"/>
      <c r="O319" s="104"/>
    </row>
    <row r="320" spans="4:15" ht="16.5" customHeight="1" x14ac:dyDescent="0.35">
      <c r="D320" s="104"/>
      <c r="E320" s="124"/>
      <c r="F320" s="124"/>
      <c r="G320" s="124"/>
      <c r="I320" s="125"/>
      <c r="J320" s="104"/>
      <c r="K320" s="104"/>
      <c r="L320" s="124"/>
      <c r="M320" s="104"/>
      <c r="N320" s="104"/>
      <c r="O320" s="104"/>
    </row>
    <row r="321" spans="4:15" ht="16.5" customHeight="1" x14ac:dyDescent="0.35">
      <c r="D321" s="104"/>
      <c r="E321" s="124"/>
      <c r="F321" s="124"/>
      <c r="G321" s="124"/>
      <c r="I321" s="125"/>
      <c r="J321" s="104"/>
      <c r="K321" s="104"/>
      <c r="L321" s="124"/>
      <c r="M321" s="104"/>
      <c r="N321" s="104"/>
      <c r="O321" s="104"/>
    </row>
    <row r="322" spans="4:15" ht="16.5" customHeight="1" x14ac:dyDescent="0.35">
      <c r="D322" s="104"/>
      <c r="E322" s="124"/>
      <c r="F322" s="124"/>
      <c r="G322" s="124"/>
      <c r="I322" s="125"/>
      <c r="J322" s="104"/>
      <c r="K322" s="104"/>
      <c r="L322" s="124"/>
      <c r="M322" s="104"/>
      <c r="N322" s="104"/>
      <c r="O322" s="104"/>
    </row>
    <row r="323" spans="4:15" ht="16.5" customHeight="1" collapsed="1" x14ac:dyDescent="0.35">
      <c r="D323" s="104"/>
      <c r="E323" s="124"/>
      <c r="F323" s="124"/>
      <c r="G323" s="124"/>
      <c r="I323" s="125"/>
      <c r="J323" s="104"/>
      <c r="K323" s="104"/>
      <c r="L323" s="124"/>
      <c r="M323" s="104"/>
      <c r="N323" s="104"/>
      <c r="O323" s="104"/>
    </row>
    <row r="324" spans="4:15" ht="16.5" customHeight="1" x14ac:dyDescent="0.35">
      <c r="D324" s="104"/>
      <c r="E324" s="124"/>
      <c r="F324" s="124"/>
      <c r="G324" s="124"/>
      <c r="I324" s="125"/>
      <c r="J324" s="104"/>
      <c r="K324" s="104"/>
      <c r="L324" s="124"/>
      <c r="M324" s="104"/>
      <c r="N324" s="104"/>
      <c r="O324" s="104"/>
    </row>
    <row r="325" spans="4:15" ht="16.5" customHeight="1" collapsed="1" x14ac:dyDescent="0.35">
      <c r="D325" s="104"/>
      <c r="E325" s="124"/>
      <c r="F325" s="124"/>
      <c r="G325" s="124"/>
      <c r="I325" s="125"/>
      <c r="J325" s="104"/>
      <c r="K325" s="104"/>
      <c r="L325" s="124"/>
      <c r="M325" s="104"/>
      <c r="N325" s="104"/>
      <c r="O325" s="104"/>
    </row>
    <row r="326" spans="4:15" ht="16.5" customHeight="1" x14ac:dyDescent="0.35">
      <c r="D326" s="104"/>
      <c r="E326" s="124"/>
      <c r="F326" s="124"/>
      <c r="G326" s="124"/>
      <c r="I326" s="125"/>
      <c r="J326" s="104"/>
      <c r="K326" s="104"/>
      <c r="L326" s="124"/>
      <c r="M326" s="104"/>
      <c r="N326" s="104"/>
      <c r="O326" s="104"/>
    </row>
    <row r="327" spans="4:15" ht="16.5" customHeight="1" x14ac:dyDescent="0.35">
      <c r="D327" s="104"/>
      <c r="E327" s="124"/>
      <c r="F327" s="124"/>
      <c r="G327" s="124"/>
      <c r="I327" s="125"/>
      <c r="J327" s="104"/>
      <c r="K327" s="104"/>
      <c r="L327" s="124"/>
      <c r="M327" s="104"/>
      <c r="N327" s="104"/>
      <c r="O327" s="104"/>
    </row>
    <row r="328" spans="4:15" ht="16.5" customHeight="1" x14ac:dyDescent="0.35">
      <c r="D328" s="104"/>
      <c r="E328" s="124"/>
      <c r="F328" s="124"/>
      <c r="G328" s="124"/>
      <c r="I328" s="125"/>
      <c r="J328" s="104"/>
      <c r="K328" s="104"/>
      <c r="L328" s="124"/>
      <c r="M328" s="104"/>
      <c r="N328" s="104"/>
      <c r="O328" s="104"/>
    </row>
    <row r="329" spans="4:15" ht="16.5" customHeight="1" x14ac:dyDescent="0.35">
      <c r="D329" s="104"/>
      <c r="E329" s="124"/>
      <c r="F329" s="124"/>
      <c r="G329" s="124"/>
      <c r="I329" s="125"/>
      <c r="J329" s="104"/>
      <c r="K329" s="104"/>
      <c r="L329" s="124"/>
      <c r="M329" s="104"/>
      <c r="N329" s="104"/>
      <c r="O329" s="104"/>
    </row>
    <row r="330" spans="4:15" ht="16.5" customHeight="1" x14ac:dyDescent="0.35">
      <c r="D330" s="104"/>
      <c r="E330" s="124"/>
      <c r="F330" s="124"/>
      <c r="G330" s="124"/>
      <c r="I330" s="125"/>
      <c r="J330" s="104"/>
      <c r="K330" s="104"/>
      <c r="L330" s="124"/>
      <c r="M330" s="104"/>
      <c r="N330" s="104"/>
      <c r="O330" s="104"/>
    </row>
    <row r="331" spans="4:15" ht="16.5" customHeight="1" x14ac:dyDescent="0.35">
      <c r="D331" s="104"/>
      <c r="E331" s="124"/>
      <c r="F331" s="124"/>
      <c r="G331" s="124"/>
      <c r="I331" s="125"/>
      <c r="J331" s="104"/>
      <c r="K331" s="104"/>
      <c r="L331" s="124"/>
      <c r="M331" s="104"/>
      <c r="N331" s="104"/>
      <c r="O331" s="104"/>
    </row>
    <row r="332" spans="4:15" ht="16.5" customHeight="1" x14ac:dyDescent="0.35">
      <c r="D332" s="104"/>
      <c r="E332" s="124"/>
      <c r="F332" s="124"/>
      <c r="G332" s="124"/>
      <c r="I332" s="125"/>
      <c r="J332" s="104"/>
      <c r="K332" s="104"/>
      <c r="L332" s="124"/>
      <c r="M332" s="104"/>
      <c r="N332" s="104"/>
      <c r="O332" s="104"/>
    </row>
    <row r="333" spans="4:15" ht="16.5" customHeight="1" x14ac:dyDescent="0.35">
      <c r="D333" s="104"/>
      <c r="E333" s="124"/>
      <c r="F333" s="124"/>
      <c r="G333" s="124"/>
      <c r="I333" s="125"/>
      <c r="J333" s="104"/>
      <c r="K333" s="104"/>
      <c r="L333" s="124"/>
      <c r="M333" s="104"/>
      <c r="N333" s="104"/>
      <c r="O333" s="104"/>
    </row>
    <row r="334" spans="4:15" ht="16.5" customHeight="1" x14ac:dyDescent="0.35">
      <c r="D334" s="104"/>
      <c r="E334" s="124"/>
      <c r="F334" s="124"/>
      <c r="G334" s="124"/>
      <c r="I334" s="125"/>
      <c r="J334" s="104"/>
      <c r="K334" s="104"/>
      <c r="L334" s="124"/>
      <c r="M334" s="104"/>
      <c r="N334" s="104"/>
      <c r="O334" s="104"/>
    </row>
    <row r="335" spans="4:15" ht="16.5" customHeight="1" x14ac:dyDescent="0.35">
      <c r="D335" s="104"/>
      <c r="E335" s="124"/>
      <c r="F335" s="124"/>
      <c r="G335" s="124"/>
      <c r="I335" s="125"/>
      <c r="J335" s="104"/>
      <c r="K335" s="104"/>
      <c r="L335" s="124"/>
      <c r="M335" s="104"/>
      <c r="N335" s="104"/>
      <c r="O335" s="104"/>
    </row>
    <row r="336" spans="4:15" ht="16.5" customHeight="1" x14ac:dyDescent="0.35">
      <c r="D336" s="104"/>
      <c r="E336" s="124"/>
      <c r="F336" s="124"/>
      <c r="G336" s="124"/>
      <c r="I336" s="125"/>
      <c r="J336" s="104"/>
      <c r="K336" s="104"/>
      <c r="L336" s="124"/>
      <c r="M336" s="104"/>
      <c r="N336" s="104"/>
      <c r="O336" s="104"/>
    </row>
    <row r="337" spans="4:15" ht="16.5" customHeight="1" x14ac:dyDescent="0.35">
      <c r="D337" s="104"/>
      <c r="E337" s="124"/>
      <c r="F337" s="124"/>
      <c r="G337" s="124"/>
      <c r="I337" s="125"/>
      <c r="J337" s="104"/>
      <c r="K337" s="104"/>
      <c r="L337" s="124"/>
      <c r="M337" s="104"/>
      <c r="N337" s="104"/>
      <c r="O337" s="104"/>
    </row>
    <row r="338" spans="4:15" ht="16.5" customHeight="1" x14ac:dyDescent="0.35">
      <c r="D338" s="104"/>
      <c r="E338" s="124"/>
      <c r="F338" s="124"/>
      <c r="G338" s="124"/>
      <c r="I338" s="125"/>
      <c r="J338" s="104"/>
      <c r="K338" s="104"/>
      <c r="L338" s="124"/>
      <c r="M338" s="104"/>
      <c r="N338" s="104"/>
      <c r="O338" s="104"/>
    </row>
    <row r="339" spans="4:15" ht="16.5" customHeight="1" collapsed="1" x14ac:dyDescent="0.35">
      <c r="D339" s="104"/>
      <c r="E339" s="124"/>
      <c r="F339" s="124"/>
      <c r="G339" s="124"/>
      <c r="I339" s="125"/>
      <c r="J339" s="104"/>
      <c r="K339" s="104"/>
      <c r="L339" s="124"/>
      <c r="M339" s="104"/>
      <c r="N339" s="104"/>
      <c r="O339" s="104"/>
    </row>
    <row r="340" spans="4:15" ht="16.5" customHeight="1" x14ac:dyDescent="0.35">
      <c r="D340" s="104"/>
      <c r="E340" s="124"/>
      <c r="F340" s="124"/>
      <c r="G340" s="124"/>
      <c r="I340" s="125"/>
      <c r="J340" s="104"/>
      <c r="K340" s="104"/>
      <c r="L340" s="124"/>
      <c r="M340" s="104"/>
      <c r="N340" s="104"/>
      <c r="O340" s="104"/>
    </row>
    <row r="341" spans="4:15" ht="16.5" customHeight="1" x14ac:dyDescent="0.35">
      <c r="D341" s="104"/>
      <c r="E341" s="124"/>
      <c r="F341" s="124"/>
      <c r="G341" s="124"/>
      <c r="I341" s="125"/>
      <c r="J341" s="104"/>
      <c r="K341" s="104"/>
      <c r="L341" s="124"/>
      <c r="M341" s="104"/>
      <c r="N341" s="104"/>
      <c r="O341" s="104"/>
    </row>
    <row r="342" spans="4:15" ht="16.5" customHeight="1" x14ac:dyDescent="0.35">
      <c r="D342" s="104"/>
      <c r="E342" s="124"/>
      <c r="F342" s="124"/>
      <c r="G342" s="124"/>
      <c r="I342" s="125"/>
      <c r="J342" s="104"/>
      <c r="K342" s="104"/>
      <c r="L342" s="124"/>
      <c r="M342" s="104"/>
      <c r="N342" s="104"/>
      <c r="O342" s="104"/>
    </row>
    <row r="343" spans="4:15" ht="16.5" customHeight="1" x14ac:dyDescent="0.35">
      <c r="D343" s="104"/>
      <c r="E343" s="124"/>
      <c r="F343" s="124"/>
      <c r="G343" s="124"/>
      <c r="I343" s="125"/>
      <c r="J343" s="104"/>
      <c r="K343" s="104"/>
      <c r="L343" s="124"/>
      <c r="M343" s="104"/>
      <c r="N343" s="104"/>
      <c r="O343" s="104"/>
    </row>
    <row r="344" spans="4:15" ht="16.5" customHeight="1" x14ac:dyDescent="0.35">
      <c r="D344" s="104"/>
      <c r="E344" s="124"/>
      <c r="F344" s="124"/>
      <c r="G344" s="124"/>
      <c r="I344" s="125"/>
      <c r="J344" s="104"/>
      <c r="K344" s="104"/>
      <c r="L344" s="124"/>
      <c r="M344" s="104"/>
      <c r="N344" s="104"/>
      <c r="O344" s="104"/>
    </row>
    <row r="345" spans="4:15" ht="16.5" customHeight="1" x14ac:dyDescent="0.35">
      <c r="D345" s="104"/>
      <c r="E345" s="124"/>
      <c r="F345" s="124"/>
      <c r="G345" s="124"/>
      <c r="I345" s="125"/>
      <c r="J345" s="104"/>
      <c r="K345" s="104"/>
      <c r="L345" s="124"/>
      <c r="M345" s="104"/>
      <c r="N345" s="104"/>
      <c r="O345" s="104"/>
    </row>
    <row r="346" spans="4:15" ht="16.5" customHeight="1" x14ac:dyDescent="0.35">
      <c r="D346" s="104"/>
      <c r="E346" s="124"/>
      <c r="F346" s="124"/>
      <c r="G346" s="124"/>
      <c r="I346" s="125"/>
      <c r="J346" s="104"/>
      <c r="K346" s="104"/>
      <c r="L346" s="124"/>
      <c r="M346" s="104"/>
      <c r="N346" s="104"/>
      <c r="O346" s="104"/>
    </row>
    <row r="347" spans="4:15" ht="16.5" customHeight="1" x14ac:dyDescent="0.35">
      <c r="D347" s="104"/>
      <c r="E347" s="124"/>
      <c r="F347" s="124"/>
      <c r="G347" s="124"/>
      <c r="I347" s="125"/>
      <c r="J347" s="104"/>
      <c r="K347" s="104"/>
      <c r="L347" s="124"/>
      <c r="M347" s="104"/>
      <c r="N347" s="104"/>
      <c r="O347" s="104"/>
    </row>
    <row r="348" spans="4:15" ht="16.5" customHeight="1" x14ac:dyDescent="0.35">
      <c r="D348" s="104"/>
      <c r="E348" s="124"/>
      <c r="F348" s="124"/>
      <c r="G348" s="124"/>
      <c r="I348" s="125"/>
      <c r="J348" s="104"/>
      <c r="K348" s="104"/>
      <c r="L348" s="124"/>
      <c r="M348" s="104"/>
      <c r="N348" s="104"/>
      <c r="O348" s="104"/>
    </row>
    <row r="349" spans="4:15" ht="16.5" customHeight="1" x14ac:dyDescent="0.35">
      <c r="D349" s="104"/>
      <c r="E349" s="124"/>
      <c r="F349" s="124"/>
      <c r="G349" s="124"/>
      <c r="I349" s="125"/>
      <c r="J349" s="104"/>
      <c r="K349" s="104"/>
      <c r="L349" s="124"/>
      <c r="M349" s="104"/>
      <c r="N349" s="104"/>
      <c r="O349" s="104"/>
    </row>
    <row r="350" spans="4:15" ht="16.5" customHeight="1" x14ac:dyDescent="0.35">
      <c r="D350" s="104"/>
      <c r="E350" s="124"/>
      <c r="F350" s="124"/>
      <c r="G350" s="124"/>
      <c r="I350" s="125"/>
      <c r="J350" s="104"/>
      <c r="K350" s="104"/>
      <c r="L350" s="124"/>
      <c r="M350" s="104"/>
      <c r="N350" s="104"/>
      <c r="O350" s="104"/>
    </row>
    <row r="351" spans="4:15" ht="16.5" customHeight="1" x14ac:dyDescent="0.35">
      <c r="D351" s="104"/>
      <c r="E351" s="124"/>
      <c r="F351" s="124"/>
      <c r="G351" s="124"/>
      <c r="I351" s="125"/>
      <c r="J351" s="104"/>
      <c r="K351" s="104"/>
      <c r="L351" s="124"/>
      <c r="M351" s="104"/>
      <c r="N351" s="104"/>
      <c r="O351" s="104"/>
    </row>
    <row r="352" spans="4:15" ht="16.5" customHeight="1" x14ac:dyDescent="0.35">
      <c r="D352" s="104"/>
      <c r="E352" s="124"/>
      <c r="F352" s="124"/>
      <c r="G352" s="124"/>
      <c r="I352" s="125"/>
      <c r="J352" s="104"/>
      <c r="K352" s="104"/>
      <c r="L352" s="124"/>
      <c r="M352" s="104"/>
      <c r="N352" s="104"/>
      <c r="O352" s="104"/>
    </row>
    <row r="353" spans="4:15" ht="16.5" customHeight="1" x14ac:dyDescent="0.35">
      <c r="D353" s="104"/>
      <c r="E353" s="124"/>
      <c r="F353" s="124"/>
      <c r="G353" s="124"/>
      <c r="I353" s="125"/>
      <c r="J353" s="104"/>
      <c r="K353" s="104"/>
      <c r="L353" s="124"/>
      <c r="M353" s="104"/>
      <c r="N353" s="104"/>
      <c r="O353" s="104"/>
    </row>
    <row r="354" spans="4:15" ht="16.5" customHeight="1" x14ac:dyDescent="0.35">
      <c r="D354" s="104"/>
      <c r="E354" s="124"/>
      <c r="F354" s="124"/>
      <c r="G354" s="124"/>
      <c r="I354" s="125"/>
      <c r="J354" s="104"/>
      <c r="K354" s="104"/>
      <c r="L354" s="124"/>
      <c r="M354" s="104"/>
      <c r="N354" s="104"/>
      <c r="O354" s="104"/>
    </row>
    <row r="355" spans="4:15" ht="16.5" customHeight="1" x14ac:dyDescent="0.35">
      <c r="D355" s="104"/>
      <c r="E355" s="124"/>
      <c r="F355" s="124"/>
      <c r="G355" s="124"/>
      <c r="I355" s="125"/>
      <c r="J355" s="104"/>
      <c r="K355" s="104"/>
      <c r="L355" s="124"/>
      <c r="M355" s="104"/>
      <c r="N355" s="104"/>
      <c r="O355" s="104"/>
    </row>
    <row r="356" spans="4:15" ht="16.5" customHeight="1" x14ac:dyDescent="0.35">
      <c r="D356" s="104"/>
      <c r="E356" s="124"/>
      <c r="F356" s="124"/>
      <c r="G356" s="124"/>
      <c r="I356" s="125"/>
      <c r="J356" s="104"/>
      <c r="K356" s="104"/>
      <c r="L356" s="124"/>
      <c r="M356" s="104"/>
      <c r="N356" s="104"/>
      <c r="O356" s="104"/>
    </row>
    <row r="357" spans="4:15" ht="16.5" customHeight="1" x14ac:dyDescent="0.35">
      <c r="D357" s="104"/>
      <c r="E357" s="124"/>
      <c r="F357" s="124"/>
      <c r="G357" s="124"/>
      <c r="I357" s="125"/>
      <c r="J357" s="104"/>
      <c r="K357" s="104"/>
      <c r="L357" s="124"/>
      <c r="M357" s="104"/>
      <c r="N357" s="104"/>
      <c r="O357" s="104"/>
    </row>
    <row r="358" spans="4:15" ht="16.5" customHeight="1" x14ac:dyDescent="0.35">
      <c r="D358" s="104"/>
      <c r="E358" s="124"/>
      <c r="F358" s="124"/>
      <c r="G358" s="124"/>
      <c r="I358" s="125"/>
      <c r="J358" s="104"/>
      <c r="K358" s="104"/>
      <c r="L358" s="124"/>
      <c r="M358" s="104"/>
      <c r="N358" s="104"/>
      <c r="O358" s="104"/>
    </row>
    <row r="359" spans="4:15" ht="16.5" customHeight="1" x14ac:dyDescent="0.35">
      <c r="D359" s="104"/>
      <c r="E359" s="124"/>
      <c r="F359" s="124"/>
      <c r="G359" s="124"/>
      <c r="I359" s="125"/>
      <c r="J359" s="104"/>
      <c r="K359" s="104"/>
      <c r="L359" s="124"/>
      <c r="M359" s="104"/>
      <c r="N359" s="104"/>
      <c r="O359" s="104"/>
    </row>
    <row r="360" spans="4:15" ht="16.5" customHeight="1" x14ac:dyDescent="0.35">
      <c r="D360" s="104"/>
      <c r="E360" s="124"/>
      <c r="F360" s="124"/>
      <c r="G360" s="124"/>
      <c r="I360" s="125"/>
      <c r="J360" s="104"/>
      <c r="K360" s="104"/>
      <c r="L360" s="124"/>
      <c r="M360" s="104"/>
      <c r="N360" s="104"/>
      <c r="O360" s="104"/>
    </row>
    <row r="361" spans="4:15" ht="16.5" customHeight="1" x14ac:dyDescent="0.35">
      <c r="D361" s="104"/>
      <c r="E361" s="124"/>
      <c r="F361" s="124"/>
      <c r="G361" s="124"/>
      <c r="I361" s="125"/>
      <c r="J361" s="104"/>
      <c r="K361" s="104"/>
      <c r="L361" s="124"/>
      <c r="M361" s="104"/>
      <c r="N361" s="104"/>
      <c r="O361" s="104"/>
    </row>
    <row r="362" spans="4:15" ht="16.5" customHeight="1" x14ac:dyDescent="0.35">
      <c r="D362" s="104"/>
      <c r="E362" s="124"/>
      <c r="F362" s="124"/>
      <c r="G362" s="124"/>
      <c r="I362" s="125"/>
      <c r="J362" s="104"/>
      <c r="K362" s="104"/>
      <c r="L362" s="124"/>
      <c r="M362" s="104"/>
      <c r="N362" s="104"/>
      <c r="O362" s="104"/>
    </row>
    <row r="363" spans="4:15" ht="16.5" customHeight="1" x14ac:dyDescent="0.35">
      <c r="D363" s="104"/>
      <c r="E363" s="124"/>
      <c r="F363" s="124"/>
      <c r="G363" s="124"/>
      <c r="I363" s="125"/>
      <c r="J363" s="104"/>
      <c r="K363" s="104"/>
      <c r="L363" s="124"/>
      <c r="M363" s="104"/>
      <c r="N363" s="104"/>
      <c r="O363" s="104"/>
    </row>
    <row r="364" spans="4:15" ht="16.5" customHeight="1" x14ac:dyDescent="0.35">
      <c r="D364" s="104"/>
      <c r="E364" s="124"/>
      <c r="F364" s="124"/>
      <c r="G364" s="124"/>
      <c r="I364" s="125"/>
      <c r="J364" s="104"/>
      <c r="K364" s="104"/>
      <c r="L364" s="124"/>
      <c r="M364" s="104"/>
      <c r="N364" s="104"/>
      <c r="O364" s="104"/>
    </row>
    <row r="365" spans="4:15" ht="16.5" customHeight="1" x14ac:dyDescent="0.35">
      <c r="D365" s="104"/>
      <c r="E365" s="124"/>
      <c r="F365" s="124"/>
      <c r="G365" s="124"/>
      <c r="I365" s="125"/>
      <c r="J365" s="104"/>
      <c r="K365" s="104"/>
      <c r="L365" s="124"/>
      <c r="M365" s="104"/>
      <c r="N365" s="104"/>
      <c r="O365" s="104"/>
    </row>
    <row r="366" spans="4:15" ht="16.5" customHeight="1" x14ac:dyDescent="0.35">
      <c r="D366" s="104"/>
      <c r="E366" s="124"/>
      <c r="F366" s="124"/>
      <c r="G366" s="124"/>
      <c r="I366" s="125"/>
      <c r="J366" s="104"/>
      <c r="K366" s="104"/>
      <c r="L366" s="124"/>
      <c r="M366" s="104"/>
      <c r="N366" s="104"/>
      <c r="O366" s="104"/>
    </row>
    <row r="367" spans="4:15" ht="16.5" customHeight="1" x14ac:dyDescent="0.35">
      <c r="D367" s="104"/>
      <c r="E367" s="124"/>
      <c r="F367" s="124"/>
      <c r="G367" s="124"/>
      <c r="I367" s="125"/>
      <c r="J367" s="104"/>
      <c r="K367" s="104"/>
      <c r="L367" s="124"/>
      <c r="M367" s="104"/>
      <c r="N367" s="104"/>
      <c r="O367" s="104"/>
    </row>
    <row r="368" spans="4:15" ht="16.5" customHeight="1" x14ac:dyDescent="0.35">
      <c r="D368" s="104"/>
      <c r="E368" s="124"/>
      <c r="F368" s="124"/>
      <c r="G368" s="124"/>
      <c r="I368" s="125"/>
      <c r="J368" s="104"/>
      <c r="K368" s="104"/>
      <c r="L368" s="124"/>
      <c r="M368" s="104"/>
      <c r="N368" s="104"/>
      <c r="O368" s="104"/>
    </row>
    <row r="369" spans="4:15" ht="16.5" customHeight="1" x14ac:dyDescent="0.35">
      <c r="D369" s="104"/>
      <c r="E369" s="124"/>
      <c r="F369" s="124"/>
      <c r="G369" s="124"/>
      <c r="I369" s="125"/>
      <c r="J369" s="104"/>
      <c r="K369" s="104"/>
      <c r="L369" s="124"/>
      <c r="M369" s="104"/>
      <c r="N369" s="104"/>
      <c r="O369" s="104"/>
    </row>
    <row r="370" spans="4:15" ht="16.5" customHeight="1" x14ac:dyDescent="0.35">
      <c r="D370" s="104"/>
      <c r="E370" s="124"/>
      <c r="F370" s="124"/>
      <c r="G370" s="124"/>
      <c r="I370" s="125"/>
      <c r="J370" s="104"/>
      <c r="K370" s="104"/>
      <c r="L370" s="124"/>
      <c r="M370" s="104"/>
      <c r="N370" s="104"/>
      <c r="O370" s="104"/>
    </row>
    <row r="371" spans="4:15" ht="16.5" customHeight="1" x14ac:dyDescent="0.35">
      <c r="D371" s="104"/>
      <c r="E371" s="124"/>
      <c r="F371" s="124"/>
      <c r="G371" s="124"/>
      <c r="I371" s="125"/>
      <c r="J371" s="104"/>
      <c r="K371" s="104"/>
      <c r="L371" s="124"/>
      <c r="M371" s="104"/>
      <c r="N371" s="104"/>
      <c r="O371" s="104"/>
    </row>
    <row r="372" spans="4:15" ht="16.5" customHeight="1" x14ac:dyDescent="0.35">
      <c r="D372" s="104"/>
      <c r="E372" s="124"/>
      <c r="F372" s="124"/>
      <c r="G372" s="124"/>
      <c r="I372" s="125"/>
      <c r="J372" s="104"/>
      <c r="K372" s="104"/>
      <c r="L372" s="124"/>
      <c r="M372" s="104"/>
      <c r="N372" s="104"/>
      <c r="O372" s="104"/>
    </row>
    <row r="373" spans="4:15" ht="16.5" customHeight="1" x14ac:dyDescent="0.35">
      <c r="D373" s="104"/>
      <c r="E373" s="124"/>
      <c r="F373" s="124"/>
      <c r="G373" s="124"/>
      <c r="I373" s="125"/>
      <c r="J373" s="104"/>
      <c r="K373" s="104"/>
      <c r="L373" s="124"/>
      <c r="M373" s="104"/>
      <c r="N373" s="104"/>
      <c r="O373" s="104"/>
    </row>
    <row r="374" spans="4:15" ht="16.5" customHeight="1" x14ac:dyDescent="0.35">
      <c r="D374" s="104"/>
      <c r="E374" s="124"/>
      <c r="F374" s="124"/>
      <c r="G374" s="124"/>
      <c r="I374" s="125"/>
      <c r="J374" s="104"/>
      <c r="K374" s="104"/>
      <c r="L374" s="124"/>
      <c r="M374" s="104"/>
      <c r="N374" s="104"/>
      <c r="O374" s="104"/>
    </row>
    <row r="375" spans="4:15" ht="16.5" customHeight="1" x14ac:dyDescent="0.35">
      <c r="D375" s="104"/>
      <c r="E375" s="124"/>
      <c r="F375" s="124"/>
      <c r="G375" s="124"/>
      <c r="I375" s="125"/>
      <c r="J375" s="104"/>
      <c r="K375" s="104"/>
      <c r="L375" s="124"/>
      <c r="M375" s="104"/>
      <c r="N375" s="104"/>
      <c r="O375" s="104"/>
    </row>
    <row r="376" spans="4:15" ht="16.5" customHeight="1" x14ac:dyDescent="0.35">
      <c r="D376" s="104"/>
      <c r="E376" s="124"/>
      <c r="F376" s="124"/>
      <c r="G376" s="124"/>
      <c r="I376" s="125"/>
      <c r="J376" s="104"/>
      <c r="K376" s="104"/>
      <c r="L376" s="124"/>
      <c r="M376" s="104"/>
      <c r="N376" s="104"/>
      <c r="O376" s="104"/>
    </row>
    <row r="377" spans="4:15" ht="16.5" customHeight="1" x14ac:dyDescent="0.35">
      <c r="D377" s="104"/>
      <c r="E377" s="124"/>
      <c r="F377" s="124"/>
      <c r="G377" s="124"/>
      <c r="I377" s="125"/>
      <c r="J377" s="104"/>
      <c r="K377" s="104"/>
      <c r="L377" s="124"/>
      <c r="M377" s="104"/>
      <c r="N377" s="104"/>
      <c r="O377" s="104"/>
    </row>
    <row r="378" spans="4:15" ht="16.5" customHeight="1" x14ac:dyDescent="0.35">
      <c r="D378" s="104"/>
      <c r="E378" s="124"/>
      <c r="F378" s="124"/>
      <c r="G378" s="124"/>
      <c r="I378" s="125"/>
      <c r="J378" s="104"/>
      <c r="K378" s="104"/>
      <c r="L378" s="124"/>
      <c r="M378" s="104"/>
      <c r="N378" s="104"/>
      <c r="O378" s="104"/>
    </row>
    <row r="379" spans="4:15" ht="16.5" customHeight="1" x14ac:dyDescent="0.35">
      <c r="D379" s="104"/>
      <c r="E379" s="124"/>
      <c r="F379" s="124"/>
      <c r="G379" s="124"/>
      <c r="I379" s="125"/>
      <c r="J379" s="104"/>
      <c r="K379" s="104"/>
      <c r="L379" s="124"/>
      <c r="M379" s="104"/>
      <c r="N379" s="104"/>
      <c r="O379" s="104"/>
    </row>
    <row r="380" spans="4:15" ht="16.5" customHeight="1" x14ac:dyDescent="0.35">
      <c r="D380" s="104"/>
      <c r="E380" s="124"/>
      <c r="F380" s="124"/>
      <c r="G380" s="124"/>
      <c r="I380" s="125"/>
      <c r="J380" s="104"/>
      <c r="K380" s="104"/>
      <c r="L380" s="124"/>
      <c r="M380" s="104"/>
      <c r="N380" s="104"/>
      <c r="O380" s="104"/>
    </row>
    <row r="381" spans="4:15" ht="16.5" customHeight="1" x14ac:dyDescent="0.35">
      <c r="D381" s="104"/>
      <c r="E381" s="124"/>
      <c r="F381" s="124"/>
      <c r="G381" s="124"/>
      <c r="I381" s="125"/>
      <c r="J381" s="104"/>
      <c r="K381" s="104"/>
      <c r="L381" s="124"/>
      <c r="M381" s="104"/>
      <c r="N381" s="104"/>
      <c r="O381" s="104"/>
    </row>
    <row r="382" spans="4:15" ht="16.5" customHeight="1" x14ac:dyDescent="0.35">
      <c r="D382" s="104"/>
      <c r="E382" s="124"/>
      <c r="F382" s="124"/>
      <c r="G382" s="124"/>
      <c r="I382" s="125"/>
      <c r="J382" s="104"/>
      <c r="K382" s="104"/>
      <c r="L382" s="124"/>
      <c r="M382" s="104"/>
      <c r="N382" s="104"/>
      <c r="O382" s="104"/>
    </row>
    <row r="383" spans="4:15" ht="16.5" customHeight="1" x14ac:dyDescent="0.35">
      <c r="D383" s="104"/>
      <c r="E383" s="124"/>
      <c r="F383" s="124"/>
      <c r="G383" s="124"/>
      <c r="I383" s="125"/>
      <c r="J383" s="104"/>
      <c r="K383" s="104"/>
      <c r="L383" s="124"/>
      <c r="M383" s="104"/>
      <c r="N383" s="104"/>
      <c r="O383" s="104"/>
    </row>
    <row r="384" spans="4:15" ht="16.5" customHeight="1" x14ac:dyDescent="0.35">
      <c r="D384" s="104"/>
      <c r="E384" s="124"/>
      <c r="F384" s="124"/>
      <c r="G384" s="124"/>
      <c r="I384" s="125"/>
      <c r="J384" s="104"/>
      <c r="K384" s="104"/>
      <c r="L384" s="124"/>
      <c r="M384" s="104"/>
      <c r="N384" s="104"/>
      <c r="O384" s="104"/>
    </row>
    <row r="385" spans="4:15" ht="16.5" customHeight="1" x14ac:dyDescent="0.35">
      <c r="D385" s="104"/>
      <c r="E385" s="124"/>
      <c r="F385" s="124"/>
      <c r="G385" s="124"/>
      <c r="I385" s="125"/>
      <c r="J385" s="104"/>
      <c r="K385" s="104"/>
      <c r="L385" s="124"/>
      <c r="M385" s="104"/>
      <c r="N385" s="104"/>
      <c r="O385" s="104"/>
    </row>
    <row r="386" spans="4:15" ht="16.5" customHeight="1" x14ac:dyDescent="0.35">
      <c r="D386" s="104"/>
      <c r="E386" s="124"/>
      <c r="F386" s="124"/>
      <c r="G386" s="124"/>
      <c r="I386" s="125"/>
      <c r="J386" s="104"/>
      <c r="K386" s="104"/>
      <c r="L386" s="124"/>
      <c r="M386" s="104"/>
      <c r="N386" s="104"/>
      <c r="O386" s="104"/>
    </row>
    <row r="387" spans="4:15" ht="16.5" customHeight="1" x14ac:dyDescent="0.35">
      <c r="D387" s="104"/>
      <c r="E387" s="124"/>
      <c r="F387" s="124"/>
      <c r="G387" s="124"/>
      <c r="I387" s="125"/>
      <c r="J387" s="104"/>
      <c r="K387" s="104"/>
      <c r="L387" s="124"/>
      <c r="M387" s="104"/>
      <c r="N387" s="104"/>
      <c r="O387" s="104"/>
    </row>
    <row r="388" spans="4:15" ht="16.5" customHeight="1" x14ac:dyDescent="0.35">
      <c r="D388" s="104"/>
      <c r="E388" s="124"/>
      <c r="F388" s="124"/>
      <c r="G388" s="124"/>
      <c r="I388" s="125"/>
      <c r="J388" s="104"/>
      <c r="K388" s="104"/>
      <c r="L388" s="124"/>
      <c r="M388" s="104"/>
      <c r="N388" s="104"/>
      <c r="O388" s="104"/>
    </row>
    <row r="389" spans="4:15" ht="16.5" customHeight="1" x14ac:dyDescent="0.35">
      <c r="D389" s="104"/>
      <c r="E389" s="124"/>
      <c r="F389" s="124"/>
      <c r="G389" s="124"/>
      <c r="I389" s="125"/>
      <c r="J389" s="104"/>
      <c r="K389" s="104"/>
      <c r="L389" s="124"/>
      <c r="M389" s="104"/>
      <c r="N389" s="104"/>
      <c r="O389" s="104"/>
    </row>
    <row r="390" spans="4:15" ht="16.5" customHeight="1" x14ac:dyDescent="0.35">
      <c r="D390" s="104"/>
      <c r="E390" s="124"/>
      <c r="F390" s="124"/>
      <c r="G390" s="124"/>
      <c r="I390" s="125"/>
      <c r="J390" s="104"/>
      <c r="K390" s="104"/>
      <c r="L390" s="124"/>
      <c r="M390" s="104"/>
      <c r="N390" s="104"/>
      <c r="O390" s="104"/>
    </row>
    <row r="391" spans="4:15" ht="16.5" customHeight="1" x14ac:dyDescent="0.35">
      <c r="D391" s="104"/>
      <c r="E391" s="124"/>
      <c r="F391" s="124"/>
      <c r="G391" s="124"/>
      <c r="I391" s="125"/>
      <c r="J391" s="104"/>
      <c r="K391" s="104"/>
      <c r="L391" s="124"/>
      <c r="M391" s="104"/>
      <c r="N391" s="104"/>
      <c r="O391" s="104"/>
    </row>
    <row r="392" spans="4:15" ht="16.5" customHeight="1" x14ac:dyDescent="0.35">
      <c r="D392" s="104"/>
      <c r="E392" s="124"/>
      <c r="F392" s="124"/>
      <c r="G392" s="124"/>
      <c r="I392" s="125"/>
      <c r="J392" s="104"/>
      <c r="K392" s="104"/>
      <c r="L392" s="124"/>
      <c r="M392" s="104"/>
      <c r="N392" s="104"/>
      <c r="O392" s="104"/>
    </row>
    <row r="393" spans="4:15" ht="16.5" customHeight="1" x14ac:dyDescent="0.35">
      <c r="D393" s="104"/>
      <c r="E393" s="124"/>
      <c r="F393" s="124"/>
      <c r="G393" s="124"/>
      <c r="I393" s="125"/>
      <c r="J393" s="104"/>
      <c r="K393" s="104"/>
      <c r="L393" s="124"/>
      <c r="M393" s="104"/>
      <c r="N393" s="104"/>
      <c r="O393" s="104"/>
    </row>
    <row r="394" spans="4:15" ht="16.5" customHeight="1" x14ac:dyDescent="0.35">
      <c r="D394" s="104"/>
      <c r="E394" s="124"/>
      <c r="F394" s="124"/>
      <c r="G394" s="124"/>
      <c r="I394" s="125"/>
      <c r="J394" s="104"/>
      <c r="K394" s="104"/>
      <c r="L394" s="124"/>
      <c r="M394" s="104"/>
      <c r="N394" s="104"/>
      <c r="O394" s="104"/>
    </row>
    <row r="395" spans="4:15" ht="16.5" customHeight="1" x14ac:dyDescent="0.35">
      <c r="D395" s="104"/>
      <c r="E395" s="124"/>
      <c r="F395" s="124"/>
      <c r="G395" s="124"/>
      <c r="I395" s="125"/>
      <c r="J395" s="104"/>
      <c r="K395" s="104"/>
      <c r="L395" s="124"/>
      <c r="M395" s="104"/>
      <c r="N395" s="104"/>
      <c r="O395" s="104"/>
    </row>
    <row r="396" spans="4:15" ht="16.5" customHeight="1" x14ac:dyDescent="0.35">
      <c r="D396" s="104"/>
      <c r="E396" s="124"/>
      <c r="F396" s="124"/>
      <c r="G396" s="124"/>
      <c r="I396" s="125"/>
      <c r="J396" s="104"/>
      <c r="K396" s="104"/>
      <c r="L396" s="124"/>
      <c r="M396" s="104"/>
      <c r="N396" s="104"/>
      <c r="O396" s="104"/>
    </row>
    <row r="397" spans="4:15" ht="16.5" customHeight="1" x14ac:dyDescent="0.35">
      <c r="D397" s="104"/>
      <c r="E397" s="124"/>
      <c r="F397" s="124"/>
      <c r="G397" s="124"/>
      <c r="I397" s="125"/>
      <c r="J397" s="104"/>
      <c r="K397" s="104"/>
      <c r="L397" s="124"/>
      <c r="M397" s="104"/>
      <c r="N397" s="104"/>
      <c r="O397" s="104"/>
    </row>
    <row r="398" spans="4:15" ht="16.5" customHeight="1" x14ac:dyDescent="0.35">
      <c r="D398" s="104"/>
      <c r="E398" s="124"/>
      <c r="F398" s="124"/>
      <c r="G398" s="124"/>
      <c r="I398" s="125"/>
      <c r="J398" s="104"/>
      <c r="K398" s="104"/>
      <c r="L398" s="124"/>
      <c r="M398" s="104"/>
      <c r="N398" s="104"/>
      <c r="O398" s="104"/>
    </row>
    <row r="399" spans="4:15" ht="16.5" customHeight="1" x14ac:dyDescent="0.35">
      <c r="D399" s="104"/>
      <c r="E399" s="124"/>
      <c r="F399" s="124"/>
      <c r="G399" s="124"/>
      <c r="I399" s="125"/>
      <c r="J399" s="104"/>
      <c r="K399" s="104"/>
      <c r="L399" s="124"/>
      <c r="M399" s="104"/>
      <c r="N399" s="104"/>
      <c r="O399" s="104"/>
    </row>
    <row r="400" spans="4:15" ht="16.5" customHeight="1" x14ac:dyDescent="0.35">
      <c r="D400" s="104"/>
      <c r="E400" s="124"/>
      <c r="F400" s="124"/>
      <c r="G400" s="124"/>
      <c r="I400" s="125"/>
      <c r="J400" s="104"/>
      <c r="K400" s="104"/>
      <c r="L400" s="124"/>
      <c r="M400" s="104"/>
      <c r="N400" s="104"/>
      <c r="O400" s="104"/>
    </row>
    <row r="401" spans="4:15" ht="16.5" customHeight="1" x14ac:dyDescent="0.35">
      <c r="D401" s="104"/>
      <c r="E401" s="124"/>
      <c r="F401" s="124"/>
      <c r="G401" s="124"/>
      <c r="I401" s="125"/>
      <c r="J401" s="104"/>
      <c r="K401" s="104"/>
      <c r="L401" s="124"/>
      <c r="M401" s="104"/>
      <c r="N401" s="104"/>
      <c r="O401" s="104"/>
    </row>
    <row r="402" spans="4:15" ht="16.5" customHeight="1" x14ac:dyDescent="0.35">
      <c r="D402" s="104"/>
      <c r="E402" s="124"/>
      <c r="F402" s="124"/>
      <c r="G402" s="124"/>
      <c r="I402" s="125"/>
      <c r="J402" s="104"/>
      <c r="K402" s="104"/>
      <c r="L402" s="124"/>
      <c r="M402" s="104"/>
      <c r="N402" s="104"/>
      <c r="O402" s="104"/>
    </row>
    <row r="403" spans="4:15" ht="16.5" customHeight="1" x14ac:dyDescent="0.35">
      <c r="D403" s="104"/>
      <c r="E403" s="124"/>
      <c r="F403" s="124"/>
      <c r="G403" s="124"/>
      <c r="I403" s="125"/>
      <c r="J403" s="104"/>
      <c r="K403" s="104"/>
      <c r="L403" s="124"/>
      <c r="M403" s="104"/>
      <c r="N403" s="104"/>
      <c r="O403" s="104"/>
    </row>
    <row r="404" spans="4:15" ht="16.5" customHeight="1" x14ac:dyDescent="0.35">
      <c r="D404" s="104"/>
      <c r="E404" s="124"/>
      <c r="F404" s="124"/>
      <c r="G404" s="124"/>
      <c r="I404" s="125"/>
      <c r="J404" s="104"/>
      <c r="K404" s="104"/>
      <c r="L404" s="124"/>
      <c r="M404" s="104"/>
      <c r="N404" s="104"/>
      <c r="O404" s="104"/>
    </row>
    <row r="405" spans="4:15" ht="16.5" customHeight="1" x14ac:dyDescent="0.35">
      <c r="D405" s="104"/>
      <c r="E405" s="124"/>
      <c r="F405" s="124"/>
      <c r="G405" s="124"/>
      <c r="I405" s="125"/>
      <c r="J405" s="104"/>
      <c r="K405" s="104"/>
      <c r="L405" s="124"/>
      <c r="M405" s="104"/>
      <c r="N405" s="104"/>
      <c r="O405" s="104"/>
    </row>
    <row r="406" spans="4:15" ht="16.5" customHeight="1" x14ac:dyDescent="0.35">
      <c r="D406" s="104"/>
      <c r="E406" s="124"/>
      <c r="F406" s="124"/>
      <c r="G406" s="124"/>
      <c r="I406" s="125"/>
      <c r="J406" s="104"/>
      <c r="K406" s="104"/>
      <c r="L406" s="124"/>
      <c r="M406" s="104"/>
      <c r="N406" s="104"/>
      <c r="O406" s="104"/>
    </row>
    <row r="407" spans="4:15" ht="16.5" customHeight="1" x14ac:dyDescent="0.35">
      <c r="D407" s="104"/>
      <c r="E407" s="124"/>
      <c r="F407" s="124"/>
      <c r="G407" s="124"/>
      <c r="I407" s="125"/>
      <c r="J407" s="104"/>
      <c r="K407" s="104"/>
      <c r="L407" s="124"/>
      <c r="M407" s="104"/>
      <c r="N407" s="104"/>
      <c r="O407" s="104"/>
    </row>
    <row r="408" spans="4:15" ht="16.5" customHeight="1" x14ac:dyDescent="0.35">
      <c r="D408" s="104"/>
      <c r="E408" s="124"/>
      <c r="F408" s="124"/>
      <c r="G408" s="124"/>
      <c r="I408" s="125"/>
      <c r="J408" s="104"/>
      <c r="K408" s="104"/>
      <c r="L408" s="124"/>
      <c r="M408" s="104"/>
      <c r="N408" s="104"/>
      <c r="O408" s="104"/>
    </row>
    <row r="409" spans="4:15" ht="16.5" customHeight="1" x14ac:dyDescent="0.35">
      <c r="D409" s="104"/>
      <c r="E409" s="124"/>
      <c r="F409" s="124"/>
      <c r="G409" s="124"/>
      <c r="I409" s="125"/>
      <c r="J409" s="104"/>
      <c r="K409" s="104"/>
      <c r="L409" s="124"/>
      <c r="M409" s="104"/>
      <c r="N409" s="104"/>
      <c r="O409" s="104"/>
    </row>
    <row r="410" spans="4:15" ht="16.5" customHeight="1" x14ac:dyDescent="0.35">
      <c r="D410" s="104"/>
      <c r="E410" s="124"/>
      <c r="F410" s="124"/>
      <c r="G410" s="124"/>
      <c r="I410" s="125"/>
      <c r="J410" s="104"/>
      <c r="K410" s="104"/>
      <c r="L410" s="124"/>
      <c r="M410" s="104"/>
      <c r="N410" s="104"/>
      <c r="O410" s="104"/>
    </row>
    <row r="411" spans="4:15" ht="16.5" customHeight="1" x14ac:dyDescent="0.35">
      <c r="D411" s="104"/>
      <c r="E411" s="124"/>
      <c r="F411" s="124"/>
      <c r="G411" s="124"/>
      <c r="I411" s="125"/>
      <c r="J411" s="104"/>
      <c r="K411" s="104"/>
      <c r="L411" s="124"/>
      <c r="M411" s="104"/>
      <c r="N411" s="104"/>
      <c r="O411" s="104"/>
    </row>
    <row r="412" spans="4:15" ht="16.5" customHeight="1" x14ac:dyDescent="0.35">
      <c r="D412" s="104"/>
      <c r="E412" s="124"/>
      <c r="F412" s="124"/>
      <c r="G412" s="124"/>
      <c r="I412" s="125"/>
      <c r="J412" s="104"/>
      <c r="K412" s="104"/>
      <c r="L412" s="124"/>
      <c r="M412" s="104"/>
      <c r="N412" s="104"/>
      <c r="O412" s="104"/>
    </row>
    <row r="413" spans="4:15" ht="16.5" customHeight="1" x14ac:dyDescent="0.35">
      <c r="D413" s="104"/>
      <c r="E413" s="124"/>
      <c r="F413" s="124"/>
      <c r="G413" s="124"/>
      <c r="I413" s="125"/>
      <c r="J413" s="104"/>
      <c r="K413" s="104"/>
      <c r="L413" s="124"/>
      <c r="M413" s="104"/>
      <c r="N413" s="104"/>
      <c r="O413" s="104"/>
    </row>
    <row r="414" spans="4:15" ht="16.5" customHeight="1" x14ac:dyDescent="0.35">
      <c r="D414" s="104"/>
      <c r="E414" s="124"/>
      <c r="F414" s="124"/>
      <c r="G414" s="124"/>
      <c r="I414" s="125"/>
      <c r="J414" s="104"/>
      <c r="K414" s="104"/>
      <c r="L414" s="124"/>
      <c r="M414" s="104"/>
      <c r="N414" s="104"/>
      <c r="O414" s="104"/>
    </row>
    <row r="415" spans="4:15" ht="16.5" customHeight="1" x14ac:dyDescent="0.35">
      <c r="D415" s="104"/>
      <c r="E415" s="124"/>
      <c r="F415" s="124"/>
      <c r="G415" s="124"/>
      <c r="I415" s="125"/>
      <c r="J415" s="104"/>
      <c r="K415" s="104"/>
      <c r="L415" s="124"/>
      <c r="M415" s="104"/>
      <c r="N415" s="104"/>
      <c r="O415" s="104"/>
    </row>
    <row r="416" spans="4:15" ht="16.5" customHeight="1" x14ac:dyDescent="0.35">
      <c r="D416" s="104"/>
      <c r="E416" s="124"/>
      <c r="F416" s="124"/>
      <c r="G416" s="124"/>
      <c r="I416" s="125"/>
      <c r="J416" s="104"/>
      <c r="K416" s="104"/>
      <c r="L416" s="124"/>
      <c r="M416" s="104"/>
      <c r="N416" s="104"/>
      <c r="O416" s="104"/>
    </row>
    <row r="417" spans="4:15" ht="16.5" customHeight="1" x14ac:dyDescent="0.35">
      <c r="D417" s="104"/>
      <c r="E417" s="124"/>
      <c r="F417" s="124"/>
      <c r="G417" s="124"/>
      <c r="I417" s="125"/>
      <c r="J417" s="104"/>
      <c r="K417" s="104"/>
      <c r="L417" s="124"/>
      <c r="M417" s="104"/>
      <c r="N417" s="104"/>
      <c r="O417" s="104"/>
    </row>
    <row r="418" spans="4:15" ht="16.5" customHeight="1" x14ac:dyDescent="0.35">
      <c r="D418" s="104"/>
      <c r="E418" s="124"/>
      <c r="F418" s="124"/>
      <c r="G418" s="124"/>
      <c r="I418" s="125"/>
      <c r="J418" s="104"/>
      <c r="K418" s="104"/>
      <c r="L418" s="124"/>
      <c r="M418" s="104"/>
      <c r="N418" s="104"/>
      <c r="O418" s="104"/>
    </row>
    <row r="419" spans="4:15" ht="16.5" customHeight="1" x14ac:dyDescent="0.35">
      <c r="D419" s="104"/>
      <c r="E419" s="124"/>
      <c r="F419" s="124"/>
      <c r="G419" s="124"/>
      <c r="I419" s="125"/>
      <c r="J419" s="104"/>
      <c r="K419" s="104"/>
      <c r="L419" s="124"/>
      <c r="M419" s="104"/>
      <c r="N419" s="104"/>
      <c r="O419" s="104"/>
    </row>
    <row r="420" spans="4:15" ht="16.5" customHeight="1" x14ac:dyDescent="0.35">
      <c r="D420" s="104"/>
      <c r="E420" s="124"/>
      <c r="F420" s="124"/>
      <c r="G420" s="124"/>
      <c r="I420" s="125"/>
      <c r="J420" s="104"/>
      <c r="K420" s="104"/>
      <c r="L420" s="124"/>
      <c r="M420" s="104"/>
      <c r="N420" s="104"/>
      <c r="O420" s="104"/>
    </row>
    <row r="421" spans="4:15" ht="16.5" customHeight="1" x14ac:dyDescent="0.35">
      <c r="D421" s="104"/>
      <c r="E421" s="124"/>
      <c r="F421" s="124"/>
      <c r="G421" s="124"/>
      <c r="I421" s="125"/>
      <c r="J421" s="104"/>
      <c r="K421" s="104"/>
      <c r="L421" s="124"/>
      <c r="M421" s="104"/>
      <c r="N421" s="104"/>
      <c r="O421" s="104"/>
    </row>
    <row r="422" spans="4:15" ht="16.5" customHeight="1" x14ac:dyDescent="0.35">
      <c r="D422" s="104"/>
      <c r="E422" s="124"/>
      <c r="F422" s="124"/>
      <c r="G422" s="124"/>
      <c r="I422" s="125"/>
      <c r="J422" s="104"/>
      <c r="K422" s="104"/>
      <c r="L422" s="124"/>
      <c r="M422" s="104"/>
      <c r="N422" s="104"/>
      <c r="O422" s="104"/>
    </row>
    <row r="423" spans="4:15" ht="16.5" customHeight="1" x14ac:dyDescent="0.35">
      <c r="D423" s="104"/>
      <c r="E423" s="124"/>
      <c r="F423" s="124"/>
      <c r="G423" s="124"/>
      <c r="I423" s="125"/>
      <c r="J423" s="104"/>
      <c r="K423" s="104"/>
      <c r="L423" s="124"/>
      <c r="M423" s="104"/>
      <c r="N423" s="104"/>
      <c r="O423" s="104"/>
    </row>
    <row r="424" spans="4:15" ht="16.5" customHeight="1" x14ac:dyDescent="0.35">
      <c r="D424" s="104"/>
      <c r="E424" s="124"/>
      <c r="F424" s="124"/>
      <c r="G424" s="124"/>
      <c r="I424" s="125"/>
      <c r="J424" s="104"/>
      <c r="K424" s="104"/>
      <c r="L424" s="124"/>
      <c r="M424" s="104"/>
      <c r="N424" s="104"/>
      <c r="O424" s="104"/>
    </row>
    <row r="425" spans="4:15" ht="16.5" customHeight="1" x14ac:dyDescent="0.35">
      <c r="D425" s="104"/>
      <c r="E425" s="124"/>
      <c r="F425" s="124"/>
      <c r="G425" s="124"/>
      <c r="I425" s="125"/>
      <c r="J425" s="104"/>
      <c r="K425" s="104"/>
      <c r="L425" s="124"/>
      <c r="M425" s="104"/>
      <c r="N425" s="104"/>
      <c r="O425" s="104"/>
    </row>
    <row r="426" spans="4:15" ht="16.5" customHeight="1" x14ac:dyDescent="0.35">
      <c r="D426" s="104"/>
      <c r="E426" s="124"/>
      <c r="F426" s="124"/>
      <c r="G426" s="124"/>
      <c r="I426" s="125"/>
      <c r="J426" s="104"/>
      <c r="K426" s="104"/>
      <c r="L426" s="124"/>
      <c r="M426" s="104"/>
      <c r="N426" s="104"/>
      <c r="O426" s="104"/>
    </row>
    <row r="427" spans="4:15" ht="16.5" customHeight="1" x14ac:dyDescent="0.35">
      <c r="D427" s="104"/>
      <c r="E427" s="124"/>
      <c r="F427" s="124"/>
      <c r="G427" s="124"/>
      <c r="I427" s="125"/>
      <c r="J427" s="104"/>
      <c r="K427" s="104"/>
      <c r="L427" s="124"/>
      <c r="M427" s="104"/>
      <c r="N427" s="104"/>
      <c r="O427" s="104"/>
    </row>
    <row r="428" spans="4:15" ht="16.5" customHeight="1" x14ac:dyDescent="0.35">
      <c r="D428" s="104"/>
      <c r="E428" s="124"/>
      <c r="F428" s="124"/>
      <c r="G428" s="124"/>
      <c r="I428" s="125"/>
      <c r="J428" s="104"/>
      <c r="K428" s="104"/>
      <c r="L428" s="124"/>
      <c r="M428" s="104"/>
      <c r="N428" s="104"/>
      <c r="O428" s="104"/>
    </row>
    <row r="429" spans="4:15" ht="16.5" customHeight="1" x14ac:dyDescent="0.35">
      <c r="D429" s="104"/>
      <c r="E429" s="124"/>
      <c r="F429" s="124"/>
      <c r="G429" s="124"/>
      <c r="I429" s="125"/>
      <c r="J429" s="104"/>
      <c r="K429" s="104"/>
      <c r="L429" s="124"/>
      <c r="M429" s="104"/>
      <c r="N429" s="104"/>
      <c r="O429" s="104"/>
    </row>
    <row r="430" spans="4:15" ht="16.5" customHeight="1" x14ac:dyDescent="0.35">
      <c r="D430" s="104"/>
      <c r="E430" s="124"/>
      <c r="F430" s="124"/>
      <c r="G430" s="124"/>
      <c r="I430" s="125"/>
      <c r="J430" s="104"/>
      <c r="K430" s="104"/>
      <c r="L430" s="124"/>
      <c r="M430" s="104"/>
      <c r="N430" s="104"/>
      <c r="O430" s="104"/>
    </row>
    <row r="431" spans="4:15" ht="16.5" customHeight="1" x14ac:dyDescent="0.35">
      <c r="D431" s="104"/>
      <c r="E431" s="124"/>
      <c r="F431" s="124"/>
      <c r="G431" s="124"/>
      <c r="I431" s="125"/>
      <c r="J431" s="104"/>
      <c r="K431" s="104"/>
      <c r="L431" s="124"/>
      <c r="M431" s="104"/>
      <c r="N431" s="104"/>
      <c r="O431" s="104"/>
    </row>
    <row r="432" spans="4:15" ht="16.5" customHeight="1" x14ac:dyDescent="0.35">
      <c r="D432" s="104"/>
      <c r="E432" s="124"/>
      <c r="F432" s="124"/>
      <c r="G432" s="124"/>
      <c r="H432" s="85"/>
      <c r="I432" s="125"/>
      <c r="J432" s="104"/>
      <c r="K432" s="104"/>
      <c r="L432" s="124"/>
      <c r="M432" s="104"/>
      <c r="N432" s="104"/>
      <c r="O432" s="104"/>
    </row>
    <row r="433" spans="4:15" ht="16.5" customHeight="1" x14ac:dyDescent="0.35">
      <c r="D433" s="104"/>
      <c r="E433" s="124"/>
      <c r="F433" s="124"/>
      <c r="G433" s="124"/>
      <c r="H433" s="85"/>
      <c r="I433" s="125"/>
      <c r="J433" s="104"/>
      <c r="K433" s="104"/>
      <c r="L433" s="124"/>
      <c r="M433" s="104"/>
      <c r="N433" s="104"/>
      <c r="O433" s="104"/>
    </row>
    <row r="434" spans="4:15" ht="16.5" customHeight="1" x14ac:dyDescent="0.35">
      <c r="D434" s="104"/>
      <c r="E434" s="124"/>
      <c r="F434" s="124"/>
      <c r="G434" s="124"/>
      <c r="I434" s="125"/>
      <c r="J434" s="104"/>
      <c r="K434" s="104"/>
      <c r="L434" s="124"/>
      <c r="M434" s="104"/>
      <c r="N434" s="104"/>
      <c r="O434" s="104"/>
    </row>
    <row r="435" spans="4:15" ht="16.5" customHeight="1" x14ac:dyDescent="0.35">
      <c r="D435" s="104"/>
      <c r="E435" s="124"/>
      <c r="F435" s="124"/>
      <c r="G435" s="124"/>
      <c r="I435" s="125"/>
      <c r="J435" s="104"/>
      <c r="K435" s="104"/>
      <c r="L435" s="124"/>
      <c r="M435" s="104"/>
      <c r="N435" s="104"/>
      <c r="O435" s="104"/>
    </row>
    <row r="436" spans="4:15" ht="16.5" customHeight="1" x14ac:dyDescent="0.35">
      <c r="D436" s="104"/>
      <c r="E436" s="124"/>
      <c r="F436" s="124"/>
      <c r="G436" s="124"/>
      <c r="I436" s="125"/>
      <c r="J436" s="104"/>
      <c r="K436" s="104"/>
      <c r="L436" s="124"/>
      <c r="M436" s="104"/>
      <c r="N436" s="104"/>
      <c r="O436" s="104"/>
    </row>
    <row r="437" spans="4:15" ht="16.5" customHeight="1" x14ac:dyDescent="0.35">
      <c r="D437" s="104"/>
      <c r="E437" s="124"/>
      <c r="F437" s="124"/>
      <c r="G437" s="124"/>
      <c r="I437" s="125"/>
      <c r="J437" s="104"/>
      <c r="K437" s="104"/>
      <c r="L437" s="124"/>
      <c r="M437" s="104"/>
      <c r="N437" s="104"/>
      <c r="O437" s="104"/>
    </row>
    <row r="438" spans="4:15" ht="16.5" customHeight="1" x14ac:dyDescent="0.35">
      <c r="D438" s="104"/>
      <c r="E438" s="124"/>
      <c r="F438" s="124"/>
      <c r="G438" s="124"/>
      <c r="I438" s="125"/>
      <c r="J438" s="104"/>
      <c r="K438" s="104"/>
      <c r="L438" s="124"/>
      <c r="M438" s="104"/>
      <c r="N438" s="104"/>
      <c r="O438" s="104"/>
    </row>
    <row r="439" spans="4:15" ht="16.5" customHeight="1" x14ac:dyDescent="0.35">
      <c r="D439" s="104"/>
      <c r="E439" s="124"/>
      <c r="F439" s="124"/>
      <c r="G439" s="6"/>
      <c r="I439" s="126"/>
      <c r="J439" s="127"/>
      <c r="K439" s="127"/>
      <c r="L439" s="6"/>
      <c r="M439" s="104"/>
      <c r="N439" s="104"/>
      <c r="O439" s="104"/>
    </row>
    <row r="440" spans="4:15" ht="16.5" customHeight="1" x14ac:dyDescent="0.35">
      <c r="D440" s="104"/>
      <c r="E440" s="124"/>
      <c r="F440" s="124"/>
      <c r="G440" s="124"/>
      <c r="I440" s="125"/>
      <c r="J440" s="104"/>
      <c r="K440" s="104"/>
      <c r="L440" s="124"/>
      <c r="M440" s="104"/>
      <c r="N440" s="104"/>
      <c r="O440" s="104"/>
    </row>
    <row r="441" spans="4:15" ht="16.5" customHeight="1" x14ac:dyDescent="0.35">
      <c r="D441" s="104"/>
      <c r="E441" s="124"/>
      <c r="F441" s="124"/>
      <c r="G441" s="6"/>
      <c r="I441" s="126"/>
      <c r="J441" s="127"/>
      <c r="K441" s="127"/>
      <c r="L441" s="6"/>
      <c r="M441" s="104"/>
      <c r="N441" s="104"/>
      <c r="O441" s="104"/>
    </row>
    <row r="442" spans="4:15" ht="16.5" customHeight="1" x14ac:dyDescent="0.35">
      <c r="D442" s="104"/>
      <c r="E442" s="124"/>
      <c r="F442" s="124"/>
      <c r="G442" s="124"/>
      <c r="I442" s="125"/>
      <c r="J442" s="104"/>
      <c r="K442" s="104"/>
      <c r="L442" s="124"/>
      <c r="M442" s="104"/>
      <c r="N442" s="104"/>
      <c r="O442" s="104"/>
    </row>
    <row r="443" spans="4:15" ht="16.5" customHeight="1" x14ac:dyDescent="0.35">
      <c r="D443" s="104"/>
      <c r="E443" s="124"/>
      <c r="F443" s="124"/>
      <c r="G443" s="124"/>
      <c r="I443" s="125"/>
      <c r="J443" s="104"/>
      <c r="K443" s="104"/>
      <c r="L443" s="124"/>
      <c r="M443" s="104"/>
      <c r="N443" s="104"/>
      <c r="O443" s="104"/>
    </row>
    <row r="444" spans="4:15" ht="16.5" customHeight="1" x14ac:dyDescent="0.35">
      <c r="D444" s="104"/>
      <c r="E444" s="124"/>
      <c r="F444" s="124"/>
      <c r="G444" s="124"/>
      <c r="I444" s="125"/>
      <c r="J444" s="104"/>
      <c r="K444" s="104"/>
      <c r="L444" s="124"/>
      <c r="M444" s="104"/>
      <c r="N444" s="104"/>
      <c r="O444" s="104"/>
    </row>
    <row r="445" spans="4:15" ht="16.5" customHeight="1" x14ac:dyDescent="0.35">
      <c r="D445" s="104"/>
      <c r="E445" s="124"/>
      <c r="F445" s="124"/>
      <c r="G445" s="124"/>
      <c r="I445" s="125"/>
      <c r="J445" s="104"/>
      <c r="K445" s="104"/>
      <c r="L445" s="124"/>
      <c r="M445" s="104"/>
      <c r="N445" s="104"/>
      <c r="O445" s="104"/>
    </row>
    <row r="446" spans="4:15" ht="16.5" customHeight="1" x14ac:dyDescent="0.35">
      <c r="D446" s="104"/>
      <c r="E446" s="124"/>
      <c r="F446" s="124"/>
      <c r="G446" s="124"/>
      <c r="I446" s="125"/>
      <c r="J446" s="104"/>
      <c r="K446" s="104"/>
      <c r="L446" s="124"/>
      <c r="M446" s="104"/>
      <c r="N446" s="104"/>
      <c r="O446" s="104"/>
    </row>
    <row r="447" spans="4:15" ht="16.5" customHeight="1" x14ac:dyDescent="0.35">
      <c r="D447" s="104"/>
      <c r="E447" s="124"/>
      <c r="F447" s="124"/>
      <c r="G447" s="124"/>
      <c r="I447" s="125"/>
      <c r="J447" s="104"/>
      <c r="K447" s="104"/>
      <c r="L447" s="124"/>
      <c r="M447" s="104"/>
      <c r="N447" s="104"/>
      <c r="O447" s="104"/>
    </row>
    <row r="448" spans="4:15" ht="16.5" customHeight="1" x14ac:dyDescent="0.35">
      <c r="D448" s="104"/>
      <c r="E448" s="124"/>
      <c r="F448" s="124"/>
      <c r="G448" s="124"/>
      <c r="I448" s="125"/>
      <c r="J448" s="104"/>
      <c r="K448" s="104"/>
      <c r="L448" s="124"/>
      <c r="M448" s="104"/>
      <c r="N448" s="104"/>
      <c r="O448" s="104"/>
    </row>
    <row r="449" spans="4:15" ht="16.5" customHeight="1" x14ac:dyDescent="0.35">
      <c r="D449" s="104"/>
      <c r="E449" s="124"/>
      <c r="F449" s="124"/>
      <c r="G449" s="124"/>
      <c r="I449" s="125"/>
      <c r="J449" s="104"/>
      <c r="K449" s="104"/>
      <c r="L449" s="124"/>
      <c r="M449" s="104"/>
      <c r="N449" s="104"/>
      <c r="O449" s="104"/>
    </row>
    <row r="450" spans="4:15" ht="16.5" customHeight="1" x14ac:dyDescent="0.35">
      <c r="D450" s="104"/>
      <c r="E450" s="124"/>
      <c r="F450" s="124"/>
      <c r="G450" s="124"/>
      <c r="I450" s="125"/>
      <c r="J450" s="104"/>
      <c r="K450" s="104"/>
      <c r="L450" s="124"/>
      <c r="M450" s="104"/>
      <c r="N450" s="104"/>
      <c r="O450" s="104"/>
    </row>
    <row r="451" spans="4:15" ht="16.5" customHeight="1" x14ac:dyDescent="0.35">
      <c r="D451" s="104"/>
      <c r="E451" s="124"/>
      <c r="F451" s="124"/>
      <c r="G451" s="124"/>
      <c r="I451" s="125"/>
      <c r="J451" s="104"/>
      <c r="K451" s="104"/>
      <c r="L451" s="124"/>
      <c r="M451" s="104"/>
      <c r="N451" s="104"/>
      <c r="O451" s="104"/>
    </row>
    <row r="452" spans="4:15" ht="16.5" customHeight="1" x14ac:dyDescent="0.35">
      <c r="D452" s="104"/>
      <c r="E452" s="124"/>
      <c r="F452" s="124"/>
      <c r="G452" s="124"/>
      <c r="I452" s="125"/>
      <c r="J452" s="104"/>
      <c r="K452" s="104"/>
      <c r="L452" s="124"/>
      <c r="M452" s="104"/>
      <c r="N452" s="104"/>
      <c r="O452" s="104"/>
    </row>
    <row r="453" spans="4:15" ht="16.5" customHeight="1" x14ac:dyDescent="0.35">
      <c r="D453" s="104"/>
      <c r="E453" s="124"/>
      <c r="F453" s="124"/>
      <c r="G453" s="124"/>
      <c r="I453" s="125"/>
      <c r="J453" s="104"/>
      <c r="K453" s="104"/>
      <c r="L453" s="124"/>
      <c r="M453" s="104"/>
      <c r="N453" s="104"/>
      <c r="O453" s="104"/>
    </row>
    <row r="454" spans="4:15" ht="16.5" customHeight="1" x14ac:dyDescent="0.35">
      <c r="D454" s="104"/>
      <c r="E454" s="124"/>
      <c r="F454" s="124"/>
      <c r="G454" s="124"/>
      <c r="I454" s="125"/>
      <c r="J454" s="104"/>
      <c r="K454" s="104"/>
      <c r="L454" s="124"/>
      <c r="M454" s="104"/>
      <c r="N454" s="104"/>
      <c r="O454" s="104"/>
    </row>
    <row r="455" spans="4:15" ht="16.5" customHeight="1" x14ac:dyDescent="0.35">
      <c r="D455" s="104"/>
      <c r="E455" s="124"/>
      <c r="F455" s="124"/>
      <c r="G455" s="124"/>
      <c r="I455" s="125"/>
      <c r="J455" s="104"/>
      <c r="K455" s="104"/>
      <c r="L455" s="124"/>
      <c r="M455" s="104"/>
      <c r="N455" s="104"/>
      <c r="O455" s="104"/>
    </row>
    <row r="456" spans="4:15" ht="16.5" customHeight="1" x14ac:dyDescent="0.35">
      <c r="D456" s="104"/>
      <c r="E456" s="124"/>
      <c r="F456" s="124"/>
      <c r="G456" s="124"/>
      <c r="I456" s="125"/>
      <c r="J456" s="104"/>
      <c r="K456" s="104"/>
      <c r="L456" s="124"/>
      <c r="M456" s="104"/>
      <c r="N456" s="104"/>
      <c r="O456" s="104"/>
    </row>
    <row r="457" spans="4:15" ht="16.5" customHeight="1" x14ac:dyDescent="0.35">
      <c r="D457" s="104"/>
      <c r="E457" s="124"/>
      <c r="F457" s="124"/>
      <c r="G457" s="124"/>
      <c r="I457" s="125"/>
      <c r="J457" s="104"/>
      <c r="K457" s="104"/>
      <c r="L457" s="124"/>
      <c r="M457" s="104"/>
      <c r="N457" s="104"/>
      <c r="O457" s="104"/>
    </row>
    <row r="458" spans="4:15" ht="16.5" customHeight="1" x14ac:dyDescent="0.35">
      <c r="D458" s="104"/>
      <c r="E458" s="124"/>
      <c r="F458" s="124"/>
      <c r="G458" s="124"/>
      <c r="I458" s="125"/>
      <c r="J458" s="104"/>
      <c r="K458" s="104"/>
      <c r="L458" s="124"/>
      <c r="M458" s="104"/>
      <c r="N458" s="104"/>
      <c r="O458" s="104"/>
    </row>
    <row r="459" spans="4:15" ht="16.5" customHeight="1" x14ac:dyDescent="0.35">
      <c r="D459" s="104"/>
      <c r="E459" s="124"/>
      <c r="F459" s="124"/>
      <c r="G459" s="124"/>
      <c r="I459" s="125"/>
      <c r="J459" s="104"/>
      <c r="K459" s="104"/>
      <c r="L459" s="124"/>
      <c r="M459" s="104"/>
      <c r="N459" s="104"/>
      <c r="O459" s="104"/>
    </row>
    <row r="460" spans="4:15" ht="16.5" customHeight="1" x14ac:dyDescent="0.35">
      <c r="D460" s="104"/>
      <c r="E460" s="124"/>
      <c r="F460" s="124"/>
      <c r="G460" s="124"/>
      <c r="I460" s="125"/>
      <c r="J460" s="104"/>
      <c r="K460" s="104"/>
      <c r="L460" s="124"/>
      <c r="M460" s="104"/>
      <c r="N460" s="104"/>
      <c r="O460" s="104"/>
    </row>
    <row r="461" spans="4:15" ht="16.5" customHeight="1" x14ac:dyDescent="0.35">
      <c r="D461" s="104"/>
      <c r="E461" s="124"/>
      <c r="F461" s="124"/>
      <c r="G461" s="124"/>
      <c r="I461" s="125"/>
      <c r="J461" s="104"/>
      <c r="K461" s="104"/>
      <c r="L461" s="124"/>
      <c r="M461" s="104"/>
      <c r="N461" s="104"/>
      <c r="O461" s="104"/>
    </row>
    <row r="462" spans="4:15" ht="16.5" customHeight="1" x14ac:dyDescent="0.35">
      <c r="D462" s="104"/>
      <c r="E462" s="124"/>
      <c r="F462" s="124"/>
      <c r="G462" s="124"/>
      <c r="I462" s="125"/>
      <c r="J462" s="104"/>
      <c r="K462" s="104"/>
      <c r="L462" s="124"/>
      <c r="M462" s="104"/>
      <c r="N462" s="104"/>
      <c r="O462" s="104"/>
    </row>
    <row r="463" spans="4:15" ht="16.5" customHeight="1" x14ac:dyDescent="0.35">
      <c r="D463" s="104"/>
      <c r="E463" s="124"/>
      <c r="F463" s="124"/>
      <c r="G463" s="124"/>
      <c r="I463" s="125"/>
      <c r="J463" s="104"/>
      <c r="K463" s="104"/>
      <c r="L463" s="124"/>
      <c r="M463" s="104"/>
      <c r="N463" s="104"/>
      <c r="O463" s="104"/>
    </row>
    <row r="464" spans="4:15" ht="16.5" customHeight="1" x14ac:dyDescent="0.35">
      <c r="D464" s="104"/>
      <c r="E464" s="124"/>
      <c r="F464" s="124"/>
      <c r="G464" s="124"/>
      <c r="I464" s="125"/>
      <c r="J464" s="104"/>
      <c r="K464" s="104"/>
      <c r="L464" s="124"/>
      <c r="M464" s="104"/>
      <c r="N464" s="104"/>
      <c r="O464" s="104"/>
    </row>
    <row r="465" spans="4:15" ht="16.5" customHeight="1" x14ac:dyDescent="0.35">
      <c r="D465" s="104"/>
      <c r="E465" s="124"/>
      <c r="F465" s="124"/>
      <c r="G465" s="124"/>
      <c r="I465" s="125"/>
      <c r="J465" s="104"/>
      <c r="K465" s="104"/>
      <c r="L465" s="124"/>
      <c r="M465" s="104"/>
      <c r="N465" s="104"/>
      <c r="O465" s="104"/>
    </row>
    <row r="466" spans="4:15" ht="16.5" customHeight="1" x14ac:dyDescent="0.35">
      <c r="D466" s="104"/>
      <c r="E466" s="124"/>
      <c r="F466" s="124"/>
      <c r="G466" s="124"/>
      <c r="I466" s="125"/>
      <c r="J466" s="104"/>
      <c r="K466" s="104"/>
      <c r="L466" s="124"/>
      <c r="M466" s="104"/>
      <c r="N466" s="104"/>
      <c r="O466" s="104"/>
    </row>
    <row r="467" spans="4:15" ht="16.5" customHeight="1" x14ac:dyDescent="0.35">
      <c r="D467" s="104"/>
      <c r="E467" s="124"/>
      <c r="F467" s="124"/>
      <c r="G467" s="124"/>
      <c r="I467" s="125"/>
      <c r="J467" s="104"/>
      <c r="K467" s="104"/>
      <c r="L467" s="124"/>
      <c r="M467" s="104"/>
      <c r="N467" s="104"/>
      <c r="O467" s="104"/>
    </row>
    <row r="468" spans="4:15" ht="16.5" customHeight="1" x14ac:dyDescent="0.35">
      <c r="D468" s="104"/>
      <c r="E468" s="124"/>
      <c r="F468" s="124"/>
      <c r="G468" s="124"/>
      <c r="I468" s="125"/>
      <c r="J468" s="104"/>
      <c r="K468" s="104"/>
      <c r="L468" s="124"/>
      <c r="M468" s="104"/>
      <c r="N468" s="104"/>
      <c r="O468" s="104"/>
    </row>
    <row r="469" spans="4:15" ht="16.5" customHeight="1" x14ac:dyDescent="0.35">
      <c r="D469" s="104"/>
      <c r="E469" s="124"/>
      <c r="F469" s="124"/>
      <c r="G469" s="124"/>
      <c r="I469" s="125"/>
      <c r="J469" s="104"/>
      <c r="K469" s="104"/>
      <c r="L469" s="124"/>
      <c r="M469" s="104"/>
      <c r="N469" s="104"/>
      <c r="O469" s="104"/>
    </row>
    <row r="470" spans="4:15" ht="16.5" customHeight="1" x14ac:dyDescent="0.35">
      <c r="D470" s="104"/>
      <c r="E470" s="124"/>
      <c r="F470" s="124"/>
      <c r="G470" s="124"/>
      <c r="I470" s="125"/>
      <c r="J470" s="104"/>
      <c r="K470" s="104"/>
      <c r="L470" s="124"/>
      <c r="M470" s="104"/>
      <c r="N470" s="104"/>
      <c r="O470" s="104"/>
    </row>
    <row r="471" spans="4:15" ht="16.5" customHeight="1" x14ac:dyDescent="0.35">
      <c r="D471" s="104"/>
      <c r="E471" s="124"/>
      <c r="F471" s="124"/>
      <c r="G471" s="124"/>
      <c r="I471" s="125"/>
      <c r="J471" s="104"/>
      <c r="K471" s="104"/>
      <c r="L471" s="124"/>
      <c r="M471" s="104"/>
      <c r="N471" s="104"/>
      <c r="O471" s="104"/>
    </row>
    <row r="472" spans="4:15" ht="16.5" customHeight="1" x14ac:dyDescent="0.35">
      <c r="D472" s="104"/>
      <c r="E472" s="124"/>
      <c r="F472" s="124"/>
      <c r="G472" s="124"/>
      <c r="I472" s="125"/>
      <c r="J472" s="104"/>
      <c r="K472" s="104"/>
      <c r="L472" s="124"/>
      <c r="M472" s="104"/>
      <c r="N472" s="104"/>
      <c r="O472" s="104"/>
    </row>
    <row r="473" spans="4:15" ht="16.5" customHeight="1" x14ac:dyDescent="0.35">
      <c r="D473" s="104"/>
      <c r="E473" s="124"/>
      <c r="F473" s="124"/>
      <c r="G473" s="124"/>
      <c r="I473" s="125"/>
      <c r="J473" s="104"/>
      <c r="K473" s="104"/>
      <c r="L473" s="124"/>
      <c r="M473" s="104"/>
      <c r="N473" s="104"/>
      <c r="O473" s="104"/>
    </row>
    <row r="474" spans="4:15" ht="16.5" customHeight="1" x14ac:dyDescent="0.35">
      <c r="D474" s="104"/>
      <c r="E474" s="124"/>
      <c r="F474" s="124"/>
      <c r="G474" s="124"/>
      <c r="I474" s="125"/>
      <c r="J474" s="104"/>
      <c r="K474" s="104"/>
      <c r="L474" s="124"/>
      <c r="M474" s="104"/>
      <c r="N474" s="104"/>
      <c r="O474" s="104"/>
    </row>
    <row r="475" spans="4:15" ht="16.5" customHeight="1" x14ac:dyDescent="0.35">
      <c r="D475" s="104"/>
      <c r="E475" s="124"/>
      <c r="F475" s="124"/>
      <c r="G475" s="124"/>
      <c r="I475" s="125"/>
      <c r="J475" s="104"/>
      <c r="K475" s="104"/>
      <c r="L475" s="124"/>
      <c r="M475" s="104"/>
      <c r="N475" s="104"/>
      <c r="O475" s="104"/>
    </row>
    <row r="476" spans="4:15" ht="16.5" customHeight="1" x14ac:dyDescent="0.35">
      <c r="D476" s="104"/>
      <c r="E476" s="124"/>
      <c r="F476" s="124"/>
      <c r="G476" s="124"/>
      <c r="I476" s="125"/>
      <c r="J476" s="104"/>
      <c r="K476" s="104"/>
      <c r="L476" s="124"/>
      <c r="M476" s="104"/>
      <c r="N476" s="104"/>
      <c r="O476" s="104"/>
    </row>
    <row r="477" spans="4:15" ht="16.5" customHeight="1" x14ac:dyDescent="0.35">
      <c r="D477" s="104"/>
      <c r="E477" s="124"/>
      <c r="F477" s="124"/>
      <c r="G477" s="124"/>
      <c r="I477" s="125"/>
      <c r="J477" s="104"/>
      <c r="K477" s="104"/>
      <c r="L477" s="124"/>
      <c r="M477" s="104"/>
      <c r="N477" s="104"/>
      <c r="O477" s="104"/>
    </row>
    <row r="478" spans="4:15" ht="16.5" customHeight="1" x14ac:dyDescent="0.35">
      <c r="D478" s="104"/>
      <c r="E478" s="124"/>
      <c r="F478" s="124"/>
      <c r="G478" s="124"/>
      <c r="I478" s="125"/>
      <c r="J478" s="104"/>
      <c r="K478" s="104"/>
      <c r="L478" s="124"/>
      <c r="M478" s="104"/>
      <c r="N478" s="104"/>
      <c r="O478" s="104"/>
    </row>
    <row r="479" spans="4:15" ht="16.5" customHeight="1" x14ac:dyDescent="0.35">
      <c r="D479" s="104"/>
      <c r="E479" s="124"/>
      <c r="F479" s="124"/>
      <c r="G479" s="124"/>
      <c r="I479" s="125"/>
      <c r="J479" s="104"/>
      <c r="K479" s="104"/>
      <c r="L479" s="124"/>
      <c r="M479" s="104"/>
      <c r="N479" s="104"/>
      <c r="O479" s="104"/>
    </row>
    <row r="480" spans="4:15" ht="16.5" customHeight="1" x14ac:dyDescent="0.35">
      <c r="D480" s="104"/>
      <c r="E480" s="124"/>
      <c r="F480" s="124"/>
      <c r="G480" s="124"/>
      <c r="I480" s="125"/>
      <c r="J480" s="104"/>
      <c r="K480" s="104"/>
      <c r="L480" s="124"/>
      <c r="M480" s="104"/>
      <c r="N480" s="104"/>
      <c r="O480" s="104"/>
    </row>
    <row r="481" spans="4:15" ht="16.5" customHeight="1" x14ac:dyDescent="0.35">
      <c r="D481" s="104"/>
      <c r="E481" s="124"/>
      <c r="F481" s="124"/>
      <c r="G481" s="124"/>
      <c r="I481" s="125"/>
      <c r="J481" s="104"/>
      <c r="K481" s="104"/>
      <c r="L481" s="124"/>
      <c r="M481" s="104"/>
      <c r="N481" s="104"/>
      <c r="O481" s="104"/>
    </row>
    <row r="482" spans="4:15" ht="16.5" customHeight="1" x14ac:dyDescent="0.35">
      <c r="D482" s="104"/>
      <c r="E482" s="124"/>
      <c r="F482" s="124"/>
      <c r="G482" s="124"/>
      <c r="I482" s="125"/>
      <c r="J482" s="104"/>
      <c r="K482" s="104"/>
      <c r="L482" s="124"/>
      <c r="M482" s="104"/>
      <c r="N482" s="104"/>
      <c r="O482" s="104"/>
    </row>
    <row r="483" spans="4:15" ht="16.5" customHeight="1" x14ac:dyDescent="0.35">
      <c r="D483" s="104"/>
      <c r="E483" s="124"/>
      <c r="F483" s="124"/>
      <c r="G483" s="124"/>
      <c r="I483" s="125"/>
      <c r="J483" s="104"/>
      <c r="K483" s="104"/>
      <c r="L483" s="124"/>
      <c r="M483" s="104"/>
      <c r="N483" s="104"/>
      <c r="O483" s="104"/>
    </row>
    <row r="484" spans="4:15" ht="16.5" customHeight="1" x14ac:dyDescent="0.35">
      <c r="D484" s="104"/>
      <c r="E484" s="124"/>
      <c r="F484" s="124"/>
      <c r="G484" s="124"/>
      <c r="I484" s="125"/>
      <c r="J484" s="104"/>
      <c r="K484" s="104"/>
      <c r="L484" s="124"/>
      <c r="M484" s="104"/>
      <c r="N484" s="104"/>
      <c r="O484" s="104"/>
    </row>
    <row r="485" spans="4:15" ht="16.5" customHeight="1" x14ac:dyDescent="0.35">
      <c r="D485" s="104"/>
      <c r="E485" s="124"/>
      <c r="F485" s="124"/>
      <c r="G485" s="124"/>
      <c r="I485" s="125"/>
      <c r="J485" s="104"/>
      <c r="K485" s="104"/>
      <c r="L485" s="124"/>
      <c r="M485" s="104"/>
      <c r="N485" s="104"/>
      <c r="O485" s="104"/>
    </row>
    <row r="486" spans="4:15" ht="16.5" customHeight="1" x14ac:dyDescent="0.35">
      <c r="D486" s="104"/>
      <c r="E486" s="124"/>
      <c r="F486" s="124"/>
      <c r="G486" s="124"/>
      <c r="I486" s="125"/>
      <c r="J486" s="104"/>
      <c r="K486" s="104"/>
      <c r="L486" s="124"/>
      <c r="M486" s="104"/>
      <c r="N486" s="104"/>
      <c r="O486" s="104"/>
    </row>
    <row r="487" spans="4:15" ht="16.5" customHeight="1" x14ac:dyDescent="0.35">
      <c r="D487" s="104"/>
      <c r="E487" s="124"/>
      <c r="F487" s="124"/>
      <c r="G487" s="124"/>
      <c r="I487" s="125"/>
      <c r="J487" s="104"/>
      <c r="K487" s="104"/>
      <c r="L487" s="124"/>
      <c r="M487" s="104"/>
      <c r="N487" s="104"/>
      <c r="O487" s="104"/>
    </row>
    <row r="488" spans="4:15" ht="16.5" customHeight="1" x14ac:dyDescent="0.35">
      <c r="D488" s="104"/>
      <c r="E488" s="124"/>
      <c r="F488" s="124"/>
      <c r="G488" s="124"/>
      <c r="I488" s="125"/>
      <c r="J488" s="104"/>
      <c r="K488" s="104"/>
      <c r="L488" s="124"/>
      <c r="M488" s="104"/>
      <c r="N488" s="104"/>
      <c r="O488" s="104"/>
    </row>
    <row r="489" spans="4:15" ht="16.5" customHeight="1" x14ac:dyDescent="0.35">
      <c r="D489" s="104"/>
      <c r="E489" s="124"/>
      <c r="F489" s="124"/>
      <c r="G489" s="124"/>
      <c r="I489" s="125"/>
      <c r="J489" s="104"/>
      <c r="K489" s="104"/>
      <c r="L489" s="124"/>
      <c r="M489" s="104"/>
      <c r="N489" s="104"/>
      <c r="O489" s="104"/>
    </row>
    <row r="490" spans="4:15" ht="16.5" customHeight="1" x14ac:dyDescent="0.35">
      <c r="D490" s="104"/>
      <c r="E490" s="124"/>
      <c r="F490" s="124"/>
      <c r="G490" s="124"/>
      <c r="I490" s="125"/>
      <c r="J490" s="104"/>
      <c r="K490" s="104"/>
      <c r="L490" s="124"/>
      <c r="M490" s="104"/>
      <c r="N490" s="104"/>
      <c r="O490" s="104"/>
    </row>
    <row r="491" spans="4:15" ht="16.5" customHeight="1" x14ac:dyDescent="0.35">
      <c r="D491" s="104"/>
      <c r="E491" s="124"/>
      <c r="F491" s="124"/>
      <c r="G491" s="124"/>
      <c r="I491" s="125"/>
      <c r="J491" s="104"/>
      <c r="K491" s="104"/>
      <c r="L491" s="124"/>
      <c r="M491" s="104"/>
      <c r="N491" s="104"/>
      <c r="O491" s="104"/>
    </row>
    <row r="492" spans="4:15" ht="16.5" customHeight="1" x14ac:dyDescent="0.35">
      <c r="D492" s="104"/>
      <c r="E492" s="124"/>
      <c r="F492" s="124"/>
      <c r="G492" s="124"/>
      <c r="I492" s="125"/>
      <c r="J492" s="104"/>
      <c r="K492" s="104"/>
      <c r="L492" s="124"/>
      <c r="M492" s="104"/>
      <c r="N492" s="104"/>
      <c r="O492" s="104"/>
    </row>
    <row r="493" spans="4:15" ht="16.5" customHeight="1" x14ac:dyDescent="0.35">
      <c r="D493" s="104"/>
      <c r="E493" s="124"/>
      <c r="F493" s="124"/>
      <c r="G493" s="124"/>
      <c r="I493" s="125"/>
      <c r="J493" s="104"/>
      <c r="K493" s="104"/>
      <c r="L493" s="124"/>
      <c r="M493" s="104"/>
      <c r="N493" s="104"/>
      <c r="O493" s="104"/>
    </row>
    <row r="494" spans="4:15" ht="16.5" customHeight="1" x14ac:dyDescent="0.35">
      <c r="D494" s="104"/>
      <c r="E494" s="124"/>
      <c r="F494" s="124"/>
      <c r="G494" s="124"/>
      <c r="I494" s="125"/>
      <c r="J494" s="104"/>
      <c r="K494" s="104"/>
      <c r="L494" s="124"/>
      <c r="M494" s="104"/>
      <c r="N494" s="104"/>
      <c r="O494" s="104"/>
    </row>
    <row r="495" spans="4:15" ht="16.5" customHeight="1" x14ac:dyDescent="0.35">
      <c r="D495" s="104"/>
      <c r="E495" s="124"/>
      <c r="F495" s="124"/>
      <c r="G495" s="124"/>
      <c r="I495" s="125"/>
      <c r="J495" s="104"/>
      <c r="K495" s="104"/>
      <c r="L495" s="124"/>
      <c r="M495" s="104"/>
      <c r="N495" s="104"/>
      <c r="O495" s="104"/>
    </row>
    <row r="496" spans="4:15" ht="16.5" customHeight="1" x14ac:dyDescent="0.35">
      <c r="D496" s="104"/>
      <c r="E496" s="124"/>
      <c r="F496" s="124"/>
      <c r="G496" s="124"/>
      <c r="I496" s="125"/>
      <c r="J496" s="104"/>
      <c r="K496" s="104"/>
      <c r="L496" s="124"/>
      <c r="M496" s="104"/>
      <c r="N496" s="104"/>
      <c r="O496" s="104"/>
    </row>
    <row r="497" spans="4:15" ht="16.5" customHeight="1" x14ac:dyDescent="0.35">
      <c r="D497" s="104"/>
      <c r="E497" s="124"/>
      <c r="F497" s="124"/>
      <c r="G497" s="124"/>
      <c r="I497" s="125"/>
      <c r="J497" s="104"/>
      <c r="K497" s="104"/>
      <c r="L497" s="124"/>
      <c r="M497" s="104"/>
      <c r="N497" s="104"/>
      <c r="O497" s="104"/>
    </row>
    <row r="498" spans="4:15" ht="16.5" customHeight="1" x14ac:dyDescent="0.35">
      <c r="D498" s="104"/>
      <c r="E498" s="124"/>
      <c r="F498" s="124"/>
      <c r="G498" s="124"/>
      <c r="I498" s="125"/>
      <c r="J498" s="104"/>
      <c r="K498" s="104"/>
      <c r="L498" s="124"/>
      <c r="M498" s="104"/>
      <c r="N498" s="104"/>
      <c r="O498" s="104"/>
    </row>
    <row r="499" spans="4:15" ht="16.5" customHeight="1" x14ac:dyDescent="0.35">
      <c r="D499" s="104"/>
      <c r="E499" s="124"/>
      <c r="F499" s="124"/>
      <c r="G499" s="124"/>
      <c r="I499" s="125"/>
      <c r="J499" s="104"/>
      <c r="K499" s="104"/>
      <c r="L499" s="124"/>
      <c r="M499" s="104"/>
      <c r="N499" s="104"/>
      <c r="O499" s="104"/>
    </row>
    <row r="500" spans="4:15" ht="16.5" customHeight="1" x14ac:dyDescent="0.35">
      <c r="D500" s="104"/>
      <c r="E500" s="124"/>
      <c r="F500" s="124"/>
      <c r="G500" s="124"/>
      <c r="I500" s="125"/>
      <c r="J500" s="104"/>
      <c r="K500" s="104"/>
      <c r="L500" s="124"/>
      <c r="M500" s="104"/>
      <c r="N500" s="104"/>
      <c r="O500" s="104"/>
    </row>
    <row r="501" spans="4:15" ht="16.5" customHeight="1" x14ac:dyDescent="0.35">
      <c r="D501" s="104"/>
      <c r="E501" s="124"/>
      <c r="F501" s="124"/>
      <c r="G501" s="124"/>
      <c r="I501" s="125"/>
      <c r="J501" s="104"/>
      <c r="K501" s="104"/>
      <c r="L501" s="124"/>
      <c r="M501" s="104"/>
      <c r="N501" s="104"/>
      <c r="O501" s="104"/>
    </row>
    <row r="502" spans="4:15" ht="16.5" customHeight="1" x14ac:dyDescent="0.35">
      <c r="D502" s="104"/>
      <c r="E502" s="124"/>
      <c r="F502" s="124"/>
      <c r="G502" s="124"/>
      <c r="I502" s="125"/>
      <c r="J502" s="104"/>
      <c r="K502" s="104"/>
      <c r="L502" s="124"/>
      <c r="M502" s="104"/>
      <c r="N502" s="104"/>
      <c r="O502" s="104"/>
    </row>
    <row r="503" spans="4:15" ht="16.5" customHeight="1" x14ac:dyDescent="0.35">
      <c r="D503" s="104"/>
      <c r="E503" s="124"/>
      <c r="F503" s="124"/>
      <c r="G503" s="124"/>
      <c r="I503" s="125"/>
      <c r="J503" s="104"/>
      <c r="K503" s="104"/>
      <c r="L503" s="124"/>
      <c r="M503" s="104"/>
      <c r="N503" s="104"/>
      <c r="O503" s="104"/>
    </row>
    <row r="504" spans="4:15" ht="16.5" customHeight="1" x14ac:dyDescent="0.35">
      <c r="D504" s="104"/>
      <c r="E504" s="124"/>
      <c r="F504" s="124"/>
      <c r="G504" s="124"/>
      <c r="I504" s="125"/>
      <c r="J504" s="104"/>
      <c r="K504" s="104"/>
      <c r="L504" s="124"/>
      <c r="M504" s="104"/>
      <c r="N504" s="104"/>
      <c r="O504" s="104"/>
    </row>
    <row r="505" spans="4:15" ht="16.5" customHeight="1" x14ac:dyDescent="0.35">
      <c r="D505" s="104"/>
      <c r="E505" s="124"/>
      <c r="F505" s="124"/>
      <c r="G505" s="124"/>
      <c r="I505" s="125"/>
      <c r="J505" s="104"/>
      <c r="K505" s="104"/>
      <c r="L505" s="124"/>
      <c r="M505" s="104"/>
      <c r="N505" s="104"/>
      <c r="O505" s="104"/>
    </row>
    <row r="506" spans="4:15" ht="16.5" customHeight="1" x14ac:dyDescent="0.35">
      <c r="D506" s="104"/>
      <c r="E506" s="124"/>
      <c r="F506" s="124"/>
      <c r="G506" s="124"/>
      <c r="I506" s="125"/>
      <c r="J506" s="104"/>
      <c r="K506" s="104"/>
      <c r="L506" s="124"/>
      <c r="M506" s="104"/>
      <c r="N506" s="104"/>
      <c r="O506" s="104"/>
    </row>
    <row r="507" spans="4:15" ht="16.5" customHeight="1" x14ac:dyDescent="0.35">
      <c r="D507" s="104"/>
      <c r="E507" s="124"/>
      <c r="F507" s="124"/>
      <c r="G507" s="124"/>
      <c r="I507" s="125"/>
      <c r="J507" s="104"/>
      <c r="K507" s="104"/>
      <c r="L507" s="124"/>
      <c r="M507" s="104"/>
      <c r="N507" s="104"/>
      <c r="O507" s="104"/>
    </row>
    <row r="508" spans="4:15" ht="16.5" customHeight="1" x14ac:dyDescent="0.35">
      <c r="D508" s="104"/>
      <c r="E508" s="124"/>
      <c r="F508" s="124"/>
      <c r="G508" s="124"/>
      <c r="I508" s="125"/>
      <c r="J508" s="104"/>
      <c r="K508" s="104"/>
      <c r="L508" s="124"/>
      <c r="M508" s="104"/>
      <c r="N508" s="104"/>
      <c r="O508" s="104"/>
    </row>
    <row r="509" spans="4:15" ht="16.5" customHeight="1" x14ac:dyDescent="0.35">
      <c r="D509" s="104"/>
      <c r="E509" s="124"/>
      <c r="F509" s="124"/>
      <c r="G509" s="124"/>
      <c r="I509" s="125"/>
      <c r="J509" s="104"/>
      <c r="K509" s="104"/>
      <c r="L509" s="124"/>
      <c r="M509" s="104"/>
      <c r="N509" s="104"/>
      <c r="O509" s="104"/>
    </row>
    <row r="510" spans="4:15" ht="16.5" customHeight="1" x14ac:dyDescent="0.35">
      <c r="D510" s="104"/>
      <c r="E510" s="124"/>
      <c r="F510" s="124"/>
      <c r="G510" s="124"/>
      <c r="I510" s="125"/>
      <c r="J510" s="104"/>
      <c r="K510" s="104"/>
      <c r="L510" s="124"/>
      <c r="M510" s="104"/>
      <c r="N510" s="104"/>
      <c r="O510" s="104"/>
    </row>
    <row r="511" spans="4:15" ht="16.5" customHeight="1" x14ac:dyDescent="0.35">
      <c r="D511" s="104"/>
      <c r="E511" s="124"/>
      <c r="F511" s="124"/>
      <c r="G511" s="124"/>
      <c r="I511" s="125"/>
      <c r="J511" s="104"/>
      <c r="K511" s="104"/>
      <c r="L511" s="124"/>
      <c r="M511" s="104"/>
      <c r="N511" s="104"/>
      <c r="O511" s="104"/>
    </row>
    <row r="512" spans="4:15" ht="16.5" customHeight="1" x14ac:dyDescent="0.35">
      <c r="D512" s="104"/>
      <c r="E512" s="124"/>
      <c r="F512" s="124"/>
      <c r="G512" s="124"/>
      <c r="I512" s="125"/>
      <c r="J512" s="104"/>
      <c r="K512" s="104"/>
      <c r="L512" s="124"/>
      <c r="M512" s="104"/>
      <c r="N512" s="104"/>
      <c r="O512" s="104"/>
    </row>
    <row r="513" spans="4:15" ht="16.5" customHeight="1" x14ac:dyDescent="0.35">
      <c r="D513" s="104"/>
      <c r="E513" s="124"/>
      <c r="F513" s="124"/>
      <c r="G513" s="124"/>
      <c r="I513" s="125"/>
      <c r="J513" s="104"/>
      <c r="K513" s="104"/>
      <c r="L513" s="124"/>
      <c r="M513" s="104"/>
      <c r="N513" s="104"/>
      <c r="O513" s="104"/>
    </row>
    <row r="514" spans="4:15" ht="16.5" customHeight="1" x14ac:dyDescent="0.35">
      <c r="D514" s="104"/>
      <c r="E514" s="124"/>
      <c r="F514" s="124"/>
      <c r="G514" s="124"/>
      <c r="I514" s="125"/>
      <c r="J514" s="104"/>
      <c r="K514" s="104"/>
      <c r="L514" s="124"/>
      <c r="M514" s="104"/>
      <c r="N514" s="104"/>
      <c r="O514" s="104"/>
    </row>
    <row r="515" spans="4:15" ht="16.5" customHeight="1" x14ac:dyDescent="0.35">
      <c r="D515" s="104"/>
      <c r="E515" s="124"/>
      <c r="F515" s="124"/>
      <c r="G515" s="124"/>
      <c r="I515" s="125"/>
      <c r="J515" s="104"/>
      <c r="K515" s="104"/>
      <c r="L515" s="124"/>
      <c r="M515" s="104"/>
      <c r="N515" s="104"/>
      <c r="O515" s="104"/>
    </row>
    <row r="516" spans="4:15" ht="16.5" customHeight="1" x14ac:dyDescent="0.35">
      <c r="D516" s="104"/>
      <c r="E516" s="124"/>
      <c r="F516" s="124"/>
      <c r="G516" s="124"/>
      <c r="I516" s="125"/>
      <c r="J516" s="104"/>
      <c r="K516" s="104"/>
      <c r="L516" s="124"/>
      <c r="M516" s="104"/>
      <c r="N516" s="104"/>
      <c r="O516" s="104"/>
    </row>
    <row r="517" spans="4:15" ht="16.5" customHeight="1" x14ac:dyDescent="0.35">
      <c r="D517" s="104"/>
      <c r="E517" s="124"/>
      <c r="F517" s="124"/>
      <c r="G517" s="124"/>
      <c r="I517" s="125"/>
      <c r="J517" s="104"/>
      <c r="K517" s="104"/>
      <c r="L517" s="124"/>
      <c r="M517" s="104"/>
      <c r="N517" s="104"/>
      <c r="O517" s="104"/>
    </row>
    <row r="518" spans="4:15" ht="16.5" customHeight="1" x14ac:dyDescent="0.35">
      <c r="D518" s="104"/>
      <c r="E518" s="124"/>
      <c r="F518" s="124"/>
      <c r="G518" s="124"/>
      <c r="I518" s="125"/>
      <c r="J518" s="104"/>
      <c r="K518" s="104"/>
      <c r="L518" s="124"/>
      <c r="M518" s="104"/>
      <c r="N518" s="104"/>
      <c r="O518" s="104"/>
    </row>
    <row r="519" spans="4:15" ht="16.5" customHeight="1" x14ac:dyDescent="0.35">
      <c r="D519" s="104"/>
      <c r="E519" s="124"/>
      <c r="F519" s="124"/>
      <c r="G519" s="124"/>
      <c r="I519" s="125"/>
      <c r="J519" s="104"/>
      <c r="K519" s="104"/>
      <c r="L519" s="124"/>
      <c r="M519" s="104"/>
      <c r="N519" s="104"/>
      <c r="O519" s="104"/>
    </row>
    <row r="520" spans="4:15" ht="16.5" customHeight="1" x14ac:dyDescent="0.35">
      <c r="D520" s="104"/>
      <c r="E520" s="124"/>
      <c r="F520" s="124"/>
      <c r="G520" s="124"/>
      <c r="I520" s="125"/>
      <c r="J520" s="104"/>
      <c r="K520" s="104"/>
      <c r="L520" s="124"/>
      <c r="M520" s="104"/>
      <c r="N520" s="104"/>
      <c r="O520" s="104"/>
    </row>
  </sheetData>
  <autoFilter ref="D11:P289" xr:uid="{00000000-0009-0000-0000-000000000000}">
    <sortState xmlns:xlrd2="http://schemas.microsoft.com/office/spreadsheetml/2017/richdata2" ref="D12:P288">
      <sortCondition ref="D11:D288"/>
    </sortState>
  </autoFilter>
  <sortState xmlns:xlrd2="http://schemas.microsoft.com/office/spreadsheetml/2017/richdata2" ref="S14:S288">
    <sortCondition ref="S14"/>
  </sortState>
  <dataConsolidate link="1"/>
  <mergeCells count="3">
    <mergeCell ref="L6:L9"/>
    <mergeCell ref="H10:I10"/>
    <mergeCell ref="E8:F8"/>
  </mergeCells>
  <phoneticPr fontId="3" type="noConversion"/>
  <conditionalFormatting sqref="S13">
    <cfRule type="duplicateValues" dxfId="120" priority="315"/>
  </conditionalFormatting>
  <conditionalFormatting sqref="N75:N76 N262:N270 N161:N163 N107:N108 N165:N166">
    <cfRule type="cellIs" dxfId="119" priority="290" operator="equal">
      <formula>"nvt"</formula>
    </cfRule>
  </conditionalFormatting>
  <conditionalFormatting sqref="N73">
    <cfRule type="duplicateValues" dxfId="118" priority="289"/>
  </conditionalFormatting>
  <conditionalFormatting sqref="N73">
    <cfRule type="cellIs" dxfId="117" priority="288" operator="equal">
      <formula>"nvt"</formula>
    </cfRule>
  </conditionalFormatting>
  <conditionalFormatting sqref="N180">
    <cfRule type="duplicateValues" dxfId="116" priority="283"/>
  </conditionalFormatting>
  <conditionalFormatting sqref="N180">
    <cfRule type="cellIs" dxfId="115" priority="282" operator="equal">
      <formula>"nvt"</formula>
    </cfRule>
  </conditionalFormatting>
  <conditionalFormatting sqref="N285">
    <cfRule type="duplicateValues" dxfId="114" priority="281"/>
  </conditionalFormatting>
  <conditionalFormatting sqref="N285">
    <cfRule type="cellIs" dxfId="113" priority="280" operator="equal">
      <formula>"nvt"</formula>
    </cfRule>
  </conditionalFormatting>
  <conditionalFormatting sqref="N284">
    <cfRule type="duplicateValues" dxfId="112" priority="229"/>
  </conditionalFormatting>
  <conditionalFormatting sqref="N284">
    <cfRule type="cellIs" dxfId="111" priority="228" operator="equal">
      <formula>"nvt"</formula>
    </cfRule>
  </conditionalFormatting>
  <conditionalFormatting sqref="N286">
    <cfRule type="cellIs" dxfId="110" priority="222" operator="equal">
      <formula>"nvt"</formula>
    </cfRule>
  </conditionalFormatting>
  <conditionalFormatting sqref="N179">
    <cfRule type="duplicateValues" dxfId="109" priority="219"/>
  </conditionalFormatting>
  <conditionalFormatting sqref="N179">
    <cfRule type="cellIs" dxfId="108" priority="218" operator="equal">
      <formula>"nvt"</formula>
    </cfRule>
  </conditionalFormatting>
  <conditionalFormatting sqref="N28">
    <cfRule type="duplicateValues" dxfId="107" priority="217"/>
  </conditionalFormatting>
  <conditionalFormatting sqref="N28">
    <cfRule type="cellIs" dxfId="106" priority="216" operator="equal">
      <formula>"nvt"</formula>
    </cfRule>
  </conditionalFormatting>
  <conditionalFormatting sqref="N29">
    <cfRule type="duplicateValues" dxfId="105" priority="215"/>
  </conditionalFormatting>
  <conditionalFormatting sqref="N29">
    <cfRule type="cellIs" dxfId="104" priority="214" operator="equal">
      <formula>"nvt"</formula>
    </cfRule>
  </conditionalFormatting>
  <conditionalFormatting sqref="N30">
    <cfRule type="duplicateValues" dxfId="103" priority="211"/>
  </conditionalFormatting>
  <conditionalFormatting sqref="N30">
    <cfRule type="cellIs" dxfId="102" priority="210" operator="equal">
      <formula>"nvt"</formula>
    </cfRule>
  </conditionalFormatting>
  <conditionalFormatting sqref="N31">
    <cfRule type="cellIs" dxfId="101" priority="208" operator="equal">
      <formula>"nvt"</formula>
    </cfRule>
  </conditionalFormatting>
  <conditionalFormatting sqref="N75:N76">
    <cfRule type="duplicateValues" dxfId="100" priority="333"/>
  </conditionalFormatting>
  <conditionalFormatting sqref="N170">
    <cfRule type="duplicateValues" dxfId="99" priority="193"/>
  </conditionalFormatting>
  <conditionalFormatting sqref="N170">
    <cfRule type="cellIs" dxfId="98" priority="192" operator="equal">
      <formula>"nvt"</formula>
    </cfRule>
  </conditionalFormatting>
  <conditionalFormatting sqref="N272:N274">
    <cfRule type="duplicateValues" dxfId="97" priority="177"/>
  </conditionalFormatting>
  <conditionalFormatting sqref="N272:N277">
    <cfRule type="cellIs" dxfId="96" priority="176" operator="equal">
      <formula>"nvt"</formula>
    </cfRule>
  </conditionalFormatting>
  <conditionalFormatting sqref="N272">
    <cfRule type="duplicateValues" dxfId="95" priority="171"/>
  </conditionalFormatting>
  <conditionalFormatting sqref="N272:N277">
    <cfRule type="cellIs" dxfId="94" priority="170" operator="equal">
      <formula>"nvt"</formula>
    </cfRule>
  </conditionalFormatting>
  <conditionalFormatting sqref="N32">
    <cfRule type="duplicateValues" dxfId="93" priority="129"/>
  </conditionalFormatting>
  <conditionalFormatting sqref="N32">
    <cfRule type="cellIs" dxfId="92" priority="128" operator="equal">
      <formula>"nvt"</formula>
    </cfRule>
  </conditionalFormatting>
  <conditionalFormatting sqref="N31">
    <cfRule type="duplicateValues" dxfId="91" priority="501"/>
  </conditionalFormatting>
  <conditionalFormatting sqref="N132:N133">
    <cfRule type="cellIs" dxfId="90" priority="94" operator="equal">
      <formula>"nvt"</formula>
    </cfRule>
  </conditionalFormatting>
  <conditionalFormatting sqref="N136:N140">
    <cfRule type="duplicateValues" dxfId="89" priority="93"/>
  </conditionalFormatting>
  <conditionalFormatting sqref="N136:N140">
    <cfRule type="cellIs" dxfId="88" priority="92" operator="equal">
      <formula>"nvt"</formula>
    </cfRule>
  </conditionalFormatting>
  <conditionalFormatting sqref="N127">
    <cfRule type="duplicateValues" dxfId="87" priority="91"/>
  </conditionalFormatting>
  <conditionalFormatting sqref="N127">
    <cfRule type="cellIs" dxfId="86" priority="90" operator="equal">
      <formula>"nvt"</formula>
    </cfRule>
  </conditionalFormatting>
  <conditionalFormatting sqref="N128:N131 N134">
    <cfRule type="duplicateValues" dxfId="85" priority="89"/>
  </conditionalFormatting>
  <conditionalFormatting sqref="N128:N131 N134">
    <cfRule type="cellIs" dxfId="84" priority="88" operator="equal">
      <formula>"nvt"</formula>
    </cfRule>
  </conditionalFormatting>
  <conditionalFormatting sqref="N132">
    <cfRule type="duplicateValues" dxfId="83" priority="95"/>
  </conditionalFormatting>
  <conditionalFormatting sqref="N278:N282">
    <cfRule type="duplicateValues" dxfId="82" priority="87"/>
  </conditionalFormatting>
  <conditionalFormatting sqref="N278:N282">
    <cfRule type="cellIs" dxfId="81" priority="86" operator="equal">
      <formula>"nvt"</formula>
    </cfRule>
  </conditionalFormatting>
  <conditionalFormatting sqref="N278:N282">
    <cfRule type="cellIs" dxfId="80" priority="85" operator="equal">
      <formula>"nvt"</formula>
    </cfRule>
  </conditionalFormatting>
  <conditionalFormatting sqref="N286">
    <cfRule type="duplicateValues" dxfId="79" priority="502"/>
  </conditionalFormatting>
  <conditionalFormatting sqref="J14:J84 J162:J163 J103:J159 J167:J289 J165">
    <cfRule type="cellIs" dxfId="78" priority="84" operator="equal">
      <formula>"VOOR VS1"</formula>
    </cfRule>
  </conditionalFormatting>
  <conditionalFormatting sqref="J161:J163 J165">
    <cfRule type="cellIs" dxfId="77" priority="83" operator="equal">
      <formula>"VOOR VS1"</formula>
    </cfRule>
  </conditionalFormatting>
  <conditionalFormatting sqref="N76:N84">
    <cfRule type="cellIs" dxfId="76" priority="81" operator="equal">
      <formula>"nvt"</formula>
    </cfRule>
  </conditionalFormatting>
  <conditionalFormatting sqref="N76:N84">
    <cfRule type="duplicateValues" dxfId="75" priority="511"/>
  </conditionalFormatting>
  <conditionalFormatting sqref="N160">
    <cfRule type="duplicateValues" dxfId="74" priority="80"/>
  </conditionalFormatting>
  <conditionalFormatting sqref="N160">
    <cfRule type="cellIs" dxfId="73" priority="79" operator="equal">
      <formula>"nvt"</formula>
    </cfRule>
  </conditionalFormatting>
  <conditionalFormatting sqref="J85">
    <cfRule type="cellIs" dxfId="72" priority="77" operator="equal">
      <formula>"VOOR VS1"</formula>
    </cfRule>
  </conditionalFormatting>
  <conditionalFormatting sqref="N85">
    <cfRule type="cellIs" dxfId="71" priority="76" operator="equal">
      <formula>"nvt"</formula>
    </cfRule>
  </conditionalFormatting>
  <conditionalFormatting sqref="N85">
    <cfRule type="duplicateValues" dxfId="70" priority="78"/>
  </conditionalFormatting>
  <conditionalFormatting sqref="J86">
    <cfRule type="cellIs" dxfId="69" priority="74" operator="equal">
      <formula>"VOOR VS1"</formula>
    </cfRule>
  </conditionalFormatting>
  <conditionalFormatting sqref="N86">
    <cfRule type="cellIs" dxfId="68" priority="73" operator="equal">
      <formula>"nvt"</formula>
    </cfRule>
  </conditionalFormatting>
  <conditionalFormatting sqref="N86">
    <cfRule type="duplicateValues" dxfId="67" priority="75"/>
  </conditionalFormatting>
  <conditionalFormatting sqref="J87">
    <cfRule type="cellIs" dxfId="66" priority="71" operator="equal">
      <formula>"VOOR VS1"</formula>
    </cfRule>
  </conditionalFormatting>
  <conditionalFormatting sqref="N87">
    <cfRule type="cellIs" dxfId="65" priority="70" operator="equal">
      <formula>"nvt"</formula>
    </cfRule>
  </conditionalFormatting>
  <conditionalFormatting sqref="N87">
    <cfRule type="duplicateValues" dxfId="64" priority="72"/>
  </conditionalFormatting>
  <conditionalFormatting sqref="J88">
    <cfRule type="cellIs" dxfId="63" priority="68" operator="equal">
      <formula>"VOOR VS1"</formula>
    </cfRule>
  </conditionalFormatting>
  <conditionalFormatting sqref="N88">
    <cfRule type="cellIs" dxfId="62" priority="67" operator="equal">
      <formula>"nvt"</formula>
    </cfRule>
  </conditionalFormatting>
  <conditionalFormatting sqref="N88">
    <cfRule type="duplicateValues" dxfId="61" priority="69"/>
  </conditionalFormatting>
  <conditionalFormatting sqref="J89">
    <cfRule type="cellIs" dxfId="60" priority="65" operator="equal">
      <formula>"VOOR VS1"</formula>
    </cfRule>
  </conditionalFormatting>
  <conditionalFormatting sqref="N89">
    <cfRule type="cellIs" dxfId="59" priority="64" operator="equal">
      <formula>"nvt"</formula>
    </cfRule>
  </conditionalFormatting>
  <conditionalFormatting sqref="N89">
    <cfRule type="duplicateValues" dxfId="58" priority="66"/>
  </conditionalFormatting>
  <conditionalFormatting sqref="J90">
    <cfRule type="cellIs" dxfId="57" priority="62" operator="equal">
      <formula>"VOOR VS1"</formula>
    </cfRule>
  </conditionalFormatting>
  <conditionalFormatting sqref="N90">
    <cfRule type="cellIs" dxfId="56" priority="61" operator="equal">
      <formula>"nvt"</formula>
    </cfRule>
  </conditionalFormatting>
  <conditionalFormatting sqref="N90">
    <cfRule type="duplicateValues" dxfId="55" priority="63"/>
  </conditionalFormatting>
  <conditionalFormatting sqref="J91">
    <cfRule type="cellIs" dxfId="54" priority="59" operator="equal">
      <formula>"VOOR VS1"</formula>
    </cfRule>
  </conditionalFormatting>
  <conditionalFormatting sqref="N91">
    <cfRule type="cellIs" dxfId="53" priority="58" operator="equal">
      <formula>"nvt"</formula>
    </cfRule>
  </conditionalFormatting>
  <conditionalFormatting sqref="N91">
    <cfRule type="duplicateValues" dxfId="52" priority="60"/>
  </conditionalFormatting>
  <conditionalFormatting sqref="J92">
    <cfRule type="cellIs" dxfId="51" priority="56" operator="equal">
      <formula>"VOOR VS1"</formula>
    </cfRule>
  </conditionalFormatting>
  <conditionalFormatting sqref="N92">
    <cfRule type="cellIs" dxfId="50" priority="55" operator="equal">
      <formula>"nvt"</formula>
    </cfRule>
  </conditionalFormatting>
  <conditionalFormatting sqref="N92">
    <cfRule type="duplicateValues" dxfId="49" priority="57"/>
  </conditionalFormatting>
  <conditionalFormatting sqref="J93">
    <cfRule type="cellIs" dxfId="48" priority="53" operator="equal">
      <formula>"VOOR VS1"</formula>
    </cfRule>
  </conditionalFormatting>
  <conditionalFormatting sqref="N93">
    <cfRule type="cellIs" dxfId="47" priority="52" operator="equal">
      <formula>"nvt"</formula>
    </cfRule>
  </conditionalFormatting>
  <conditionalFormatting sqref="N93">
    <cfRule type="duplicateValues" dxfId="46" priority="54"/>
  </conditionalFormatting>
  <conditionalFormatting sqref="J94:J95">
    <cfRule type="cellIs" dxfId="45" priority="50" operator="equal">
      <formula>"VOOR VS1"</formula>
    </cfRule>
  </conditionalFormatting>
  <conditionalFormatting sqref="N94:N95">
    <cfRule type="cellIs" dxfId="44" priority="49" operator="equal">
      <formula>"nvt"</formula>
    </cfRule>
  </conditionalFormatting>
  <conditionalFormatting sqref="N94:N95">
    <cfRule type="duplicateValues" dxfId="43" priority="51"/>
  </conditionalFormatting>
  <conditionalFormatting sqref="J96">
    <cfRule type="cellIs" dxfId="42" priority="47" operator="equal">
      <formula>"VOOR VS1"</formula>
    </cfRule>
  </conditionalFormatting>
  <conditionalFormatting sqref="N96">
    <cfRule type="cellIs" dxfId="41" priority="46" operator="equal">
      <formula>"nvt"</formula>
    </cfRule>
  </conditionalFormatting>
  <conditionalFormatting sqref="N96">
    <cfRule type="duplicateValues" dxfId="40" priority="48"/>
  </conditionalFormatting>
  <conditionalFormatting sqref="J97">
    <cfRule type="cellIs" dxfId="39" priority="44" operator="equal">
      <formula>"VOOR VS1"</formula>
    </cfRule>
  </conditionalFormatting>
  <conditionalFormatting sqref="N97">
    <cfRule type="cellIs" dxfId="38" priority="43" operator="equal">
      <formula>"nvt"</formula>
    </cfRule>
  </conditionalFormatting>
  <conditionalFormatting sqref="N97">
    <cfRule type="duplicateValues" dxfId="37" priority="45"/>
  </conditionalFormatting>
  <conditionalFormatting sqref="J98">
    <cfRule type="cellIs" dxfId="36" priority="41" operator="equal">
      <formula>"VOOR VS1"</formula>
    </cfRule>
  </conditionalFormatting>
  <conditionalFormatting sqref="N98">
    <cfRule type="cellIs" dxfId="35" priority="40" operator="equal">
      <formula>"nvt"</formula>
    </cfRule>
  </conditionalFormatting>
  <conditionalFormatting sqref="N98">
    <cfRule type="duplicateValues" dxfId="34" priority="42"/>
  </conditionalFormatting>
  <conditionalFormatting sqref="J99">
    <cfRule type="cellIs" dxfId="33" priority="38" operator="equal">
      <formula>"VOOR VS1"</formula>
    </cfRule>
  </conditionalFormatting>
  <conditionalFormatting sqref="N99">
    <cfRule type="cellIs" dxfId="32" priority="37" operator="equal">
      <formula>"nvt"</formula>
    </cfRule>
  </conditionalFormatting>
  <conditionalFormatting sqref="N99">
    <cfRule type="duplicateValues" dxfId="31" priority="39"/>
  </conditionalFormatting>
  <conditionalFormatting sqref="J100">
    <cfRule type="cellIs" dxfId="30" priority="35" operator="equal">
      <formula>"VOOR VS1"</formula>
    </cfRule>
  </conditionalFormatting>
  <conditionalFormatting sqref="N100">
    <cfRule type="cellIs" dxfId="29" priority="34" operator="equal">
      <formula>"nvt"</formula>
    </cfRule>
  </conditionalFormatting>
  <conditionalFormatting sqref="N100">
    <cfRule type="duplicateValues" dxfId="28" priority="36"/>
  </conditionalFormatting>
  <conditionalFormatting sqref="J101">
    <cfRule type="cellIs" dxfId="27" priority="32" operator="equal">
      <formula>"VOOR VS1"</formula>
    </cfRule>
  </conditionalFormatting>
  <conditionalFormatting sqref="N101">
    <cfRule type="cellIs" dxfId="26" priority="31" operator="equal">
      <formula>"nvt"</formula>
    </cfRule>
  </conditionalFormatting>
  <conditionalFormatting sqref="N101">
    <cfRule type="duplicateValues" dxfId="25" priority="33"/>
  </conditionalFormatting>
  <conditionalFormatting sqref="J102">
    <cfRule type="cellIs" dxfId="24" priority="29" operator="equal">
      <formula>"VOOR VS1"</formula>
    </cfRule>
  </conditionalFormatting>
  <conditionalFormatting sqref="N102">
    <cfRule type="cellIs" dxfId="23" priority="28" operator="equal">
      <formula>"nvt"</formula>
    </cfRule>
  </conditionalFormatting>
  <conditionalFormatting sqref="N102">
    <cfRule type="duplicateValues" dxfId="22" priority="30"/>
  </conditionalFormatting>
  <conditionalFormatting sqref="N103">
    <cfRule type="cellIs" dxfId="21" priority="25" operator="equal">
      <formula>"nvt"</formula>
    </cfRule>
  </conditionalFormatting>
  <conditionalFormatting sqref="N104">
    <cfRule type="cellIs" dxfId="20" priority="23" operator="equal">
      <formula>"nvt"</formula>
    </cfRule>
  </conditionalFormatting>
  <conditionalFormatting sqref="N104">
    <cfRule type="duplicateValues" dxfId="19" priority="24"/>
  </conditionalFormatting>
  <conditionalFormatting sqref="N105:N106">
    <cfRule type="cellIs" dxfId="18" priority="21" operator="equal">
      <formula>"nvt"</formula>
    </cfRule>
  </conditionalFormatting>
  <conditionalFormatting sqref="N105:N106">
    <cfRule type="duplicateValues" dxfId="17" priority="22"/>
  </conditionalFormatting>
  <conditionalFormatting sqref="N204">
    <cfRule type="duplicateValues" dxfId="16" priority="14"/>
  </conditionalFormatting>
  <conditionalFormatting sqref="N204">
    <cfRule type="cellIs" dxfId="15" priority="13" operator="equal">
      <formula>"nvt"</formula>
    </cfRule>
  </conditionalFormatting>
  <conditionalFormatting sqref="N220:N229 N231:N232">
    <cfRule type="duplicateValues" dxfId="14" priority="12"/>
  </conditionalFormatting>
  <conditionalFormatting sqref="N220:N232">
    <cfRule type="cellIs" dxfId="13" priority="11" operator="equal">
      <formula>"nvt"</formula>
    </cfRule>
  </conditionalFormatting>
  <conditionalFormatting sqref="N219 N206:N207 N209:N212 N214:N215 N217">
    <cfRule type="duplicateValues" dxfId="12" priority="10"/>
  </conditionalFormatting>
  <conditionalFormatting sqref="N219 N206:N207 N209:N212 N214:N217">
    <cfRule type="cellIs" dxfId="11" priority="9" operator="equal">
      <formula>"nvt"</formula>
    </cfRule>
  </conditionalFormatting>
  <conditionalFormatting sqref="N208 N213 N218">
    <cfRule type="duplicateValues" dxfId="10" priority="8"/>
  </conditionalFormatting>
  <conditionalFormatting sqref="N208 N213 N218">
    <cfRule type="cellIs" dxfId="9" priority="7" operator="equal">
      <formula>"nvt"</formula>
    </cfRule>
  </conditionalFormatting>
  <conditionalFormatting sqref="J160 J166">
    <cfRule type="cellIs" dxfId="8" priority="5" operator="equal">
      <formula>"VOOR VS1"</formula>
    </cfRule>
  </conditionalFormatting>
  <conditionalFormatting sqref="N262:N270 N161:N163 N165:N166">
    <cfRule type="duplicateValues" dxfId="7" priority="519"/>
  </conditionalFormatting>
  <conditionalFormatting sqref="N103">
    <cfRule type="duplicateValues" dxfId="6" priority="523"/>
  </conditionalFormatting>
  <conditionalFormatting sqref="N107:N108">
    <cfRule type="duplicateValues" dxfId="5" priority="529"/>
  </conditionalFormatting>
  <conditionalFormatting sqref="N164">
    <cfRule type="cellIs" dxfId="4" priority="3" operator="equal">
      <formula>"nvt"</formula>
    </cfRule>
  </conditionalFormatting>
  <conditionalFormatting sqref="J164">
    <cfRule type="cellIs" dxfId="3" priority="2" operator="equal">
      <formula>"VOOR VS1"</formula>
    </cfRule>
  </conditionalFormatting>
  <conditionalFormatting sqref="J164">
    <cfRule type="cellIs" dxfId="2" priority="1" operator="equal">
      <formula>"VOOR VS1"</formula>
    </cfRule>
  </conditionalFormatting>
  <conditionalFormatting sqref="N164">
    <cfRule type="duplicateValues" dxfId="1" priority="4"/>
  </conditionalFormatting>
  <printOptions horizontalCentered="1"/>
  <pageMargins left="0.70866141732283472" right="0.70866141732283472" top="0.74803149606299213" bottom="0.94488188976377963" header="0.31496062992125984" footer="0.31496062992125984"/>
  <pageSetup paperSize="8" scale="37" fitToHeight="0" orientation="landscape" r:id="rId1"/>
  <headerFooter alignWithMargins="0">
    <oddFooter>&amp;C&amp;"Calibri"&amp;11&amp;K000000&amp;"Calibri"&amp;11&amp;K000000Pagina &amp;P van &amp;N</oddFooter>
  </headerFooter>
  <drawing r:id="rId2"/>
  <extLst>
    <ext xmlns:x14="http://schemas.microsoft.com/office/spreadsheetml/2009/9/main" uri="{CCE6A557-97BC-4b89-ADB6-D9C93CAAB3DF}">
      <x14:dataValidations xmlns:xm="http://schemas.microsoft.com/office/excel/2006/main" count="2">
        <x14:dataValidation type="list" allowBlank="1" showInputMessage="1" showErrorMessage="1" xr:uid="{D9261F8C-2C7E-44D6-AE4A-2A24A3312935}">
          <x14:formula1>
            <xm:f>Blad1!$B$2:$B$6</xm:f>
          </x14:formula1>
          <xm:sqref>J14:J15 J168:J187 J189:J192 J272:J282 J284:J287 J17:J60 J262:J270 J62:J163 J165:J166</xm:sqref>
        </x14:dataValidation>
        <x14:dataValidation type="list" allowBlank="1" showInputMessage="1" showErrorMessage="1" xr:uid="{D06A29FB-6BED-4658-853F-3B58CB44C9CC}">
          <x14:formula1>
            <xm:f>Blad1!$B$8:$B$10</xm:f>
          </x14:formula1>
          <xm:sqref>O14:O15 O168:O183 O17:O32 O272:O282 O284:O287 O61:O160 O185:O192</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25EF7B-96E3-41A6-966D-D3AEEBEB3D83}">
  <dimension ref="B2:I37"/>
  <sheetViews>
    <sheetView topLeftCell="A7" workbookViewId="0">
      <selection activeCell="D13" sqref="D13:I38"/>
    </sheetView>
  </sheetViews>
  <sheetFormatPr defaultRowHeight="14.5" x14ac:dyDescent="0.35"/>
  <cols>
    <col min="2" max="2" width="18.54296875" bestFit="1" customWidth="1"/>
    <col min="3" max="3" width="54" bestFit="1" customWidth="1"/>
    <col min="5" max="5" width="18.6328125" customWidth="1"/>
    <col min="6" max="6" width="18.90625" customWidth="1"/>
  </cols>
  <sheetData>
    <row r="2" spans="2:9" x14ac:dyDescent="0.35">
      <c r="B2" t="s">
        <v>3</v>
      </c>
      <c r="C2" t="s">
        <v>620</v>
      </c>
    </row>
    <row r="3" spans="2:9" x14ac:dyDescent="0.35">
      <c r="B3" t="s">
        <v>6</v>
      </c>
      <c r="C3" t="s">
        <v>7</v>
      </c>
    </row>
    <row r="4" spans="2:9" x14ac:dyDescent="0.35">
      <c r="B4" t="s">
        <v>10</v>
      </c>
      <c r="C4" t="s">
        <v>621</v>
      </c>
    </row>
    <row r="5" spans="2:9" x14ac:dyDescent="0.35">
      <c r="B5" t="s">
        <v>14</v>
      </c>
      <c r="C5" t="s">
        <v>621</v>
      </c>
    </row>
    <row r="8" spans="2:9" x14ac:dyDescent="0.35">
      <c r="B8" t="s">
        <v>40</v>
      </c>
    </row>
    <row r="9" spans="2:9" x14ac:dyDescent="0.35">
      <c r="B9" t="s">
        <v>75</v>
      </c>
    </row>
    <row r="10" spans="2:9" x14ac:dyDescent="0.35">
      <c r="B10" t="s">
        <v>619</v>
      </c>
    </row>
    <row r="13" spans="2:9" x14ac:dyDescent="0.35">
      <c r="D13" s="51"/>
      <c r="E13" s="83"/>
      <c r="F13" s="83"/>
      <c r="G13" s="5"/>
      <c r="H13" s="68"/>
      <c r="I13" s="68"/>
    </row>
    <row r="14" spans="2:9" x14ac:dyDescent="0.35">
      <c r="D14" s="51"/>
      <c r="E14" s="23"/>
      <c r="F14" s="83"/>
      <c r="G14" s="5"/>
      <c r="H14" s="68"/>
      <c r="I14" s="68"/>
    </row>
    <row r="15" spans="2:9" x14ac:dyDescent="0.35">
      <c r="D15" s="51"/>
      <c r="E15" s="23"/>
      <c r="F15" s="83"/>
      <c r="G15" s="5"/>
      <c r="H15" s="68"/>
      <c r="I15" s="68"/>
    </row>
    <row r="16" spans="2:9" x14ac:dyDescent="0.35">
      <c r="D16" s="51"/>
      <c r="E16" s="23"/>
      <c r="F16" s="83"/>
      <c r="G16" s="5"/>
      <c r="H16" s="68"/>
      <c r="I16" s="68"/>
    </row>
    <row r="17" spans="4:9" x14ac:dyDescent="0.35">
      <c r="D17" s="51"/>
      <c r="E17" s="23"/>
      <c r="F17" s="83"/>
      <c r="G17" s="5"/>
      <c r="H17" s="68"/>
      <c r="I17" s="68"/>
    </row>
    <row r="18" spans="4:9" x14ac:dyDescent="0.35">
      <c r="D18" s="51"/>
      <c r="E18" s="23"/>
      <c r="F18" s="83"/>
      <c r="G18" s="5"/>
      <c r="H18" s="68"/>
      <c r="I18" s="68"/>
    </row>
    <row r="19" spans="4:9" x14ac:dyDescent="0.35">
      <c r="D19" s="51"/>
      <c r="E19" s="23"/>
      <c r="F19" s="83"/>
      <c r="G19" s="5"/>
      <c r="H19" s="68"/>
      <c r="I19" s="68"/>
    </row>
    <row r="20" spans="4:9" x14ac:dyDescent="0.35">
      <c r="D20" s="51"/>
      <c r="E20" s="23"/>
      <c r="F20" s="83"/>
      <c r="G20" s="5"/>
      <c r="H20" s="68"/>
      <c r="I20" s="68"/>
    </row>
    <row r="21" spans="4:9" x14ac:dyDescent="0.35">
      <c r="D21" s="52"/>
      <c r="E21" s="23"/>
      <c r="F21" s="83"/>
      <c r="G21" s="5"/>
      <c r="H21" s="68"/>
      <c r="I21" s="68"/>
    </row>
    <row r="22" spans="4:9" x14ac:dyDescent="0.35">
      <c r="D22" s="52"/>
      <c r="E22" s="23"/>
      <c r="F22" s="83"/>
      <c r="G22" s="5"/>
      <c r="H22" s="68"/>
      <c r="I22" s="68"/>
    </row>
    <row r="23" spans="4:9" x14ac:dyDescent="0.35">
      <c r="D23" s="51"/>
      <c r="E23" s="23"/>
      <c r="F23" s="83"/>
      <c r="G23" s="5"/>
      <c r="H23" s="68"/>
      <c r="I23" s="68"/>
    </row>
    <row r="24" spans="4:9" x14ac:dyDescent="0.35">
      <c r="D24" s="51"/>
      <c r="E24" s="23"/>
      <c r="F24" s="83"/>
      <c r="G24" s="5"/>
      <c r="H24" s="68"/>
      <c r="I24" s="68"/>
    </row>
    <row r="25" spans="4:9" x14ac:dyDescent="0.35">
      <c r="D25" s="51"/>
      <c r="E25" s="23"/>
      <c r="F25" s="83"/>
      <c r="G25" s="5"/>
      <c r="H25" s="68"/>
      <c r="I25" s="68"/>
    </row>
    <row r="26" spans="4:9" x14ac:dyDescent="0.35">
      <c r="D26" s="51"/>
      <c r="E26" s="23"/>
      <c r="F26" s="83"/>
      <c r="G26" s="5"/>
      <c r="H26" s="68"/>
      <c r="I26" s="68"/>
    </row>
    <row r="27" spans="4:9" x14ac:dyDescent="0.35">
      <c r="D27" s="51"/>
      <c r="E27" s="23"/>
      <c r="F27" s="83"/>
      <c r="G27" s="5"/>
      <c r="H27" s="68"/>
      <c r="I27" s="68"/>
    </row>
    <row r="28" spans="4:9" x14ac:dyDescent="0.35">
      <c r="D28" s="52"/>
      <c r="E28" s="23"/>
      <c r="F28" s="83"/>
      <c r="G28" s="5"/>
      <c r="H28" s="68"/>
      <c r="I28" s="68"/>
    </row>
    <row r="29" spans="4:9" x14ac:dyDescent="0.35">
      <c r="D29" s="51"/>
      <c r="E29" s="23"/>
      <c r="F29" s="83"/>
      <c r="G29" s="5"/>
      <c r="H29" s="68"/>
      <c r="I29" s="68"/>
    </row>
    <row r="30" spans="4:9" x14ac:dyDescent="0.35">
      <c r="D30" s="74"/>
      <c r="E30" s="23"/>
      <c r="F30" s="83"/>
      <c r="G30" s="5"/>
      <c r="H30" s="68"/>
      <c r="I30" s="68"/>
    </row>
    <row r="31" spans="4:9" x14ac:dyDescent="0.35">
      <c r="D31" s="51"/>
      <c r="E31" s="23"/>
      <c r="F31" s="83"/>
      <c r="G31" s="5"/>
      <c r="H31" s="68"/>
      <c r="I31" s="68"/>
    </row>
    <row r="32" spans="4:9" x14ac:dyDescent="0.35">
      <c r="D32" s="51"/>
      <c r="E32" s="23"/>
      <c r="F32" s="83"/>
      <c r="G32" s="5"/>
      <c r="H32" s="68"/>
      <c r="I32" s="68"/>
    </row>
    <row r="33" spans="4:9" x14ac:dyDescent="0.35">
      <c r="D33" s="51"/>
      <c r="E33" s="23"/>
      <c r="F33" s="83"/>
      <c r="G33" s="5"/>
      <c r="H33" s="68"/>
      <c r="I33" s="68"/>
    </row>
    <row r="34" spans="4:9" x14ac:dyDescent="0.35">
      <c r="D34" s="51"/>
      <c r="E34" s="23"/>
      <c r="F34" s="83"/>
      <c r="G34" s="5"/>
      <c r="H34" s="68"/>
      <c r="I34" s="68"/>
    </row>
    <row r="35" spans="4:9" x14ac:dyDescent="0.35">
      <c r="D35" s="63"/>
      <c r="E35" s="64"/>
      <c r="F35" s="84"/>
      <c r="G35" s="5"/>
      <c r="H35" s="68"/>
      <c r="I35" s="68"/>
    </row>
    <row r="36" spans="4:9" x14ac:dyDescent="0.35">
      <c r="D36" s="52"/>
      <c r="E36" s="23"/>
      <c r="F36" s="83"/>
      <c r="G36" s="5"/>
      <c r="H36" s="68"/>
      <c r="I36" s="68"/>
    </row>
    <row r="37" spans="4:9" x14ac:dyDescent="0.35">
      <c r="D37" s="75"/>
      <c r="E37" s="23"/>
      <c r="F37" s="83"/>
      <c r="G37" s="5"/>
      <c r="H37" s="68"/>
      <c r="I37" s="68"/>
    </row>
  </sheetData>
  <conditionalFormatting sqref="G13:G37">
    <cfRule type="cellIs" dxfId="0" priority="1" operator="equal">
      <formula>"VOOR VS1"</formula>
    </cfRule>
  </conditionalFormatting>
  <dataValidations count="1">
    <dataValidation type="list" allowBlank="1" showInputMessage="1" showErrorMessage="1" sqref="G13:G37" xr:uid="{B19D05D6-459B-48B2-B12D-B6FC99976D82}">
      <formula1>$B$2:$B$6</formula1>
    </dataValidation>
  </dataValidations>
  <pageMargins left="0.7" right="0.7" top="0.75" bottom="0.75" header="0.3" footer="0.3"/>
  <pageSetup orientation="portrait" horizontalDpi="1200" verticalDpi="1200"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3ACA709FCF60484FBB2EA894662BE9B5" ma:contentTypeVersion="12" ma:contentTypeDescription="Create a new document." ma:contentTypeScope="" ma:versionID="e484d0ba8015c952381ab2550652cc45">
  <xsd:schema xmlns:xsd="http://www.w3.org/2001/XMLSchema" xmlns:xs="http://www.w3.org/2001/XMLSchema" xmlns:p="http://schemas.microsoft.com/office/2006/metadata/properties" xmlns:ns2="66c3f1f7-cb73-4e66-9f63-e13c0a8b6cf5" xmlns:ns3="241a87c0-6eda-4d42-a1bf-d20611cde622" targetNamespace="http://schemas.microsoft.com/office/2006/metadata/properties" ma:root="true" ma:fieldsID="f06c6413153babaf1a2d887199889a98" ns2:_="" ns3:_="">
    <xsd:import namespace="66c3f1f7-cb73-4e66-9f63-e13c0a8b6cf5"/>
    <xsd:import namespace="241a87c0-6eda-4d42-a1bf-d20611cde622"/>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lcf76f155ced4ddcb4097134ff3c332f" minOccurs="0"/>
                <xsd:element ref="ns3:TaxCatchAll" minOccurs="0"/>
                <xsd:element ref="ns2:MediaServiceObjectDetectorVersions" minOccurs="0"/>
                <xsd:element ref="ns2:MediaServiceGenerationTime" minOccurs="0"/>
                <xsd:element ref="ns2:MediaServiceEventHashCode" minOccurs="0"/>
                <xsd:element ref="ns2:MediaServiceOCR"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6c3f1f7-cb73-4e66-9f63-e13c0a8b6cf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b0b031d9-ae19-48d6-a524-e417b27e882f"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15" nillable="true" ma:displayName="MediaServiceObjectDetectorVersions" ma:hidden="true" ma:indexed="true" ma:internalName="MediaServiceObjectDetectorVersions" ma:readOnly="true">
      <xsd:simpleType>
        <xsd:restriction base="dms:Text"/>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OCR" ma:index="18" nillable="true" ma:displayName="Extracted Text" ma:internalName="MediaServiceOCR" ma:readOnly="true">
      <xsd:simpleType>
        <xsd:restriction base="dms:Note">
          <xsd:maxLength value="255"/>
        </xsd:restriction>
      </xsd:simpleType>
    </xsd:element>
    <xsd:element name="MediaServiceSearchProperties" ma:index="19"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241a87c0-6eda-4d42-a1bf-d20611cde622"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TaxCatchAll" ma:index="14" nillable="true" ma:displayName="Taxonomy Catch All Column" ma:hidden="true" ma:list="{db36778d-d359-4b81-af3b-0e452fcbf92b}" ma:internalName="TaxCatchAll" ma:showField="CatchAllData" ma:web="241a87c0-6eda-4d42-a1bf-d20611cde622">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spe:Receivers xmlns:spe="http://schemas.microsoft.com/sharepoint/events"/>
</file>

<file path=customXml/item4.xml><?xml version="1.0" encoding="utf-8"?>
<p:properties xmlns:p="http://schemas.microsoft.com/office/2006/metadata/properties" xmlns:xsi="http://www.w3.org/2001/XMLSchema-instance" xmlns:pc="http://schemas.microsoft.com/office/infopath/2007/PartnerControls">
  <documentManagement>
    <lcf76f155ced4ddcb4097134ff3c332f xmlns="66c3f1f7-cb73-4e66-9f63-e13c0a8b6cf5">
      <Terms xmlns="http://schemas.microsoft.com/office/infopath/2007/PartnerControls"/>
    </lcf76f155ced4ddcb4097134ff3c332f>
    <TaxCatchAll xmlns="241a87c0-6eda-4d42-a1bf-d20611cde622" xsi:nil="true"/>
  </documentManagement>
</p:properties>
</file>

<file path=customXml/itemProps1.xml><?xml version="1.0" encoding="utf-8"?>
<ds:datastoreItem xmlns:ds="http://schemas.openxmlformats.org/officeDocument/2006/customXml" ds:itemID="{FCCD306F-71AA-445B-BE33-2C7E01AAA863}">
  <ds:schemaRefs>
    <ds:schemaRef ds:uri="http://schemas.microsoft.com/sharepoint/v3/contenttype/forms"/>
  </ds:schemaRefs>
</ds:datastoreItem>
</file>

<file path=customXml/itemProps2.xml><?xml version="1.0" encoding="utf-8"?>
<ds:datastoreItem xmlns:ds="http://schemas.openxmlformats.org/officeDocument/2006/customXml" ds:itemID="{667C10C1-1044-4B0C-955F-0991D66D897B}"/>
</file>

<file path=customXml/itemProps3.xml><?xml version="1.0" encoding="utf-8"?>
<ds:datastoreItem xmlns:ds="http://schemas.openxmlformats.org/officeDocument/2006/customXml" ds:itemID="{CD798E6C-BD0F-46CF-A45C-5BAF6644D6C5}">
  <ds:schemaRefs>
    <ds:schemaRef ds:uri="http://schemas.microsoft.com/sharepoint/events"/>
  </ds:schemaRefs>
</ds:datastoreItem>
</file>

<file path=customXml/itemProps4.xml><?xml version="1.0" encoding="utf-8"?>
<ds:datastoreItem xmlns:ds="http://schemas.openxmlformats.org/officeDocument/2006/customXml" ds:itemID="{D4298B51-D8C8-47D5-AFB5-E0CFE4C36CA2}">
  <ds:schemaRefs>
    <ds:schemaRef ds:uri="http://schemas.microsoft.com/office/2006/metadata/properties"/>
    <ds:schemaRef ds:uri="http://schemas.microsoft.com/office/infopath/2007/PartnerControls"/>
    <ds:schemaRef ds:uri="d6ea94aa-6b3e-4bf3-9473-b26c4a76a833"/>
    <ds:schemaRef ds:uri="88c3d763-55e1-4318-91a4-d2abaaad7c78"/>
    <ds:schemaRef ds:uri="c0b0b04d-7e5c-41bd-a1d5-557c3520dee4"/>
    <ds:schemaRef ds:uri="c94ae976-91bc-475f-8abb-f1d514a4e6c2"/>
  </ds:schemaRefs>
</ds:datastoreItem>
</file>

<file path=docMetadata/LabelInfo.xml><?xml version="1.0" encoding="utf-8"?>
<clbl:labelList xmlns:clbl="http://schemas.microsoft.com/office/2020/mipLabelMetadata">
  <clbl:label id="{6e118e09-08be-4360-a815-3fc29828016d}" enabled="1" method="Standard" siteId="{15b734ef-4a07-47e7-90f4-22cc84a7af23}"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2</vt:i4>
      </vt:variant>
      <vt:variant>
        <vt:lpstr>Named Ranges</vt:lpstr>
      </vt:variant>
      <vt:variant>
        <vt:i4>2</vt:i4>
      </vt:variant>
    </vt:vector>
  </HeadingPairs>
  <TitlesOfParts>
    <vt:vector size="4" baseType="lpstr">
      <vt:lpstr>SMH380 VS1 DP2-4</vt:lpstr>
      <vt:lpstr>Blad1</vt:lpstr>
      <vt:lpstr>'SMH380 VS1 DP2-4'!Print_Area</vt:lpstr>
      <vt:lpstr>'SMH380 VS1 DP2-4'!Print_Titles</vt:lpstr>
    </vt:vector>
  </TitlesOfParts>
  <Manager>103312</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RFC-OG-0514 A61 SMH380 DP 2-4 Master Document Register</dc:title>
  <dc:subject/>
  <dc:creator>105075</dc:creator>
  <cp:keywords/>
  <dc:description/>
  <cp:lastModifiedBy>Gonring, Jason</cp:lastModifiedBy>
  <cp:revision/>
  <dcterms:created xsi:type="dcterms:W3CDTF">2019-07-16T14:18:04Z</dcterms:created>
  <dcterms:modified xsi:type="dcterms:W3CDTF">2025-04-03T06:31:18Z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0x0101003ACA709FCF60484FBB2EA894662BE9B5</vt:lpwstr>
  </property>
  <property fmtid="{D5CDD505-2E9C-101B-9397-08002B2CF9AE}" pid="3" name="_dlc_DocIdItemGuid">
    <vt:lpwstr>3dcfacaf-bfda-4409-9676-0ab55dc3a9f2</vt:lpwstr>
  </property>
  <property fmtid="{D5CDD505-2E9C-101B-9397-08002B2CF9AE}" pid="4" name="PH_DocumentType">
    <vt:lpwstr/>
  </property>
  <property fmtid="{D5CDD505-2E9C-101B-9397-08002B2CF9AE}" pid="5" name="Projectnummer">
    <vt:lpwstr>003.215.20</vt:lpwstr>
  </property>
  <property fmtid="{D5CDD505-2E9C-101B-9397-08002B2CF9AE}" pid="6" name="Documentstatus">
    <vt:lpwstr>Concept</vt:lpwstr>
  </property>
  <property fmtid="{D5CDD505-2E9C-101B-9397-08002B2CF9AE}" pid="7" name="Documentdatum">
    <vt:filetime>2025-01-23T00:59:59Z</vt:filetime>
  </property>
  <property fmtid="{D5CDD505-2E9C-101B-9397-08002B2CF9AE}" pid="8" name="Auteur">
    <vt:lpwstr>Zeeland, Koen van</vt:lpwstr>
  </property>
  <property fmtid="{D5CDD505-2E9C-101B-9397-08002B2CF9AE}" pid="9" name="Documentnaam">
    <vt:lpwstr>003.215.20 1028405 A61 SMH380 DP 2-4 Master.xlsx</vt:lpwstr>
  </property>
  <property fmtid="{D5CDD505-2E9C-101B-9397-08002B2CF9AE}" pid="10" name="Versie">
    <vt:lpwstr>2.0.9</vt:lpwstr>
  </property>
  <property fmtid="{D5CDD505-2E9C-101B-9397-08002B2CF9AE}" pid="11" name="Kenmerk">
    <vt:lpwstr>003.215.20 1028405</vt:lpwstr>
  </property>
  <property fmtid="{D5CDD505-2E9C-101B-9397-08002B2CF9AE}" pid="12" name="Projectomschrijving">
    <vt:lpwstr>Simonshaven 380kV, uitbreiding station  Basisontwerpfase en Omgevingsmanagement</vt:lpwstr>
  </property>
  <property fmtid="{D5CDD505-2E9C-101B-9397-08002B2CF9AE}" pid="13" name="Goedkeurders">
    <vt:lpwstr>Nog niet goedgekeurd</vt:lpwstr>
  </property>
  <property fmtid="{D5CDD505-2E9C-101B-9397-08002B2CF9AE}" pid="14" name="Programmaomschrijving">
    <vt:lpwstr>Simonshaven 380kV, uitbreiding station  Basisontwerpfase en Omgevingsmanagement</vt:lpwstr>
  </property>
  <property fmtid="{D5CDD505-2E9C-101B-9397-08002B2CF9AE}" pid="15" name="TenneTRevisie">
    <vt:lpwstr>1.7</vt:lpwstr>
  </property>
  <property fmtid="{D5CDD505-2E9C-101B-9397-08002B2CF9AE}" pid="16" name="DocumentOmschrijving">
    <vt:lpwstr>A61 SMH380 DP 2-4 Master Document Register</vt:lpwstr>
  </property>
  <property fmtid="{D5CDD505-2E9C-101B-9397-08002B2CF9AE}" pid="17" name="Order">
    <vt:r8>1233700</vt:r8>
  </property>
  <property fmtid="{D5CDD505-2E9C-101B-9397-08002B2CF9AE}" pid="18" name="MSIP_Label_6e118e09-08be-4360-a815-3fc29828016d_Enabled">
    <vt:lpwstr>true</vt:lpwstr>
  </property>
  <property fmtid="{D5CDD505-2E9C-101B-9397-08002B2CF9AE}" pid="19" name="MSIP_Label_6e118e09-08be-4360-a815-3fc29828016d_SetDate">
    <vt:lpwstr>2024-01-16T07:48:25Z</vt:lpwstr>
  </property>
  <property fmtid="{D5CDD505-2E9C-101B-9397-08002B2CF9AE}" pid="20" name="MSIP_Label_6e118e09-08be-4360-a815-3fc29828016d_Method">
    <vt:lpwstr>Standard</vt:lpwstr>
  </property>
  <property fmtid="{D5CDD505-2E9C-101B-9397-08002B2CF9AE}" pid="21" name="MSIP_Label_6e118e09-08be-4360-a815-3fc29828016d_Name">
    <vt:lpwstr>Internal</vt:lpwstr>
  </property>
  <property fmtid="{D5CDD505-2E9C-101B-9397-08002B2CF9AE}" pid="22" name="MSIP_Label_6e118e09-08be-4360-a815-3fc29828016d_SiteId">
    <vt:lpwstr>15b734ef-4a07-47e7-90f4-22cc84a7af23</vt:lpwstr>
  </property>
  <property fmtid="{D5CDD505-2E9C-101B-9397-08002B2CF9AE}" pid="23" name="MSIP_Label_6e118e09-08be-4360-a815-3fc29828016d_ActionId">
    <vt:lpwstr>b1ed450a-63c8-4080-b801-6d1a83a17cf6</vt:lpwstr>
  </property>
  <property fmtid="{D5CDD505-2E9C-101B-9397-08002B2CF9AE}" pid="24" name="MSIP_Label_6e118e09-08be-4360-a815-3fc29828016d_ContentBits">
    <vt:lpwstr>0</vt:lpwstr>
  </property>
  <property fmtid="{D5CDD505-2E9C-101B-9397-08002B2CF9AE}" pid="25" name="Leverancier">
    <vt:lpwstr>TenneT TSO</vt:lpwstr>
  </property>
  <property fmtid="{D5CDD505-2E9C-101B-9397-08002B2CF9AE}" pid="26" name="MediaServiceImageTags">
    <vt:lpwstr/>
  </property>
</Properties>
</file>