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projects\github-agent\projects\PROP-002-150kV Magnetic fields Tennet\"/>
    </mc:Choice>
  </mc:AlternateContent>
  <xr:revisionPtr revIDLastSave="0" documentId="13_ncr:1_{63BF39E3-7F0B-4183-8DB4-AD33A1C5EEB3}" xr6:coauthVersionLast="47" xr6:coauthVersionMax="47" xr10:uidLastSave="{00000000-0000-0000-0000-000000000000}"/>
  <bookViews>
    <workbookView xWindow="-120" yWindow="-120" windowWidth="29040" windowHeight="15720" tabRatio="756" xr2:uid="{00000000-000D-0000-FFFF-FFFF00000000}"/>
  </bookViews>
  <sheets>
    <sheet name="EU-300 P1+P2 Prijsblad" sheetId="7" r:id="rId1"/>
    <sheet name="Blad1" sheetId="8" r:id="rId2"/>
  </sheets>
  <definedNames>
    <definedName name="_xlnm.Print_Area" localSheetId="0">'EU-300 P1+P2 Prijsblad'!$B$1:$AF$42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6" i="7" l="1"/>
  <c r="AF19" i="7"/>
  <c r="AF22" i="7"/>
  <c r="AF20" i="7"/>
  <c r="AF23" i="7"/>
  <c r="AF21" i="7"/>
  <c r="AF24" i="7"/>
  <c r="AF25" i="7"/>
  <c r="AF27" i="7"/>
  <c r="AF17" i="7"/>
  <c r="AF31" i="7"/>
  <c r="AF18" i="7"/>
  <c r="AF28" i="7"/>
  <c r="P33" i="7" l="1"/>
  <c r="O33" i="7"/>
  <c r="I33" i="7"/>
  <c r="J33" i="7"/>
  <c r="K33" i="7"/>
  <c r="L33" i="7"/>
  <c r="M33" i="7"/>
  <c r="N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H33" i="7"/>
  <c r="G33" i="7"/>
  <c r="G35" i="7" l="1"/>
  <c r="AE35" i="7"/>
  <c r="AD35" i="7"/>
  <c r="Z35" i="7"/>
  <c r="W35" i="7"/>
  <c r="V35" i="7"/>
  <c r="R35" i="7"/>
  <c r="O35" i="7"/>
  <c r="N35" i="7"/>
  <c r="J35" i="7"/>
  <c r="I35" i="7"/>
  <c r="H35" i="7"/>
  <c r="L35" i="7"/>
  <c r="K35" i="7"/>
  <c r="M35" i="7"/>
  <c r="P35" i="7"/>
  <c r="Q35" i="7"/>
  <c r="S35" i="7"/>
  <c r="T35" i="7"/>
  <c r="U35" i="7"/>
  <c r="X35" i="7"/>
  <c r="Y35" i="7"/>
  <c r="AA35" i="7"/>
  <c r="AB35" i="7"/>
  <c r="AC35" i="7"/>
  <c r="AF37" i="7" l="1"/>
  <c r="AG31" i="7" l="1"/>
  <c r="AG17" i="7"/>
  <c r="AG32" i="7" s="1"/>
</calcChain>
</file>

<file path=xl/sharedStrings.xml><?xml version="1.0" encoding="utf-8"?>
<sst xmlns="http://schemas.openxmlformats.org/spreadsheetml/2006/main" count="100" uniqueCount="69">
  <si>
    <t>PRIJSBLAD EU-300 P1 + P2</t>
  </si>
  <si>
    <t>Inschrijver</t>
  </si>
  <si>
    <t>Tendernaam:</t>
  </si>
  <si>
    <t>Tendernummer:</t>
  </si>
  <si>
    <t>Datum</t>
  </si>
  <si>
    <t>Status</t>
  </si>
  <si>
    <t>definitief</t>
  </si>
  <si>
    <t xml:space="preserve">* verwijderen wat niet van toepassing is. </t>
  </si>
  <si>
    <t>Functieniveau</t>
  </si>
  <si>
    <t xml:space="preserve">FUNCTIE     </t>
  </si>
  <si>
    <t>Niveau</t>
  </si>
  <si>
    <t>JR</t>
  </si>
  <si>
    <t>MR</t>
  </si>
  <si>
    <t>SR</t>
  </si>
  <si>
    <t>UURTARIEF €</t>
  </si>
  <si>
    <t>#</t>
  </si>
  <si>
    <t>Product</t>
  </si>
  <si>
    <t>AANTAL UREN</t>
  </si>
  <si>
    <t>A</t>
  </si>
  <si>
    <t>Projectfase 1</t>
  </si>
  <si>
    <t>Functie</t>
  </si>
  <si>
    <t>A1</t>
  </si>
  <si>
    <t>A2</t>
  </si>
  <si>
    <t>A3</t>
  </si>
  <si>
    <t>A4</t>
  </si>
  <si>
    <t>A5</t>
  </si>
  <si>
    <t>A6</t>
  </si>
  <si>
    <t>B</t>
  </si>
  <si>
    <t>Projectfase 2</t>
  </si>
  <si>
    <t>B1</t>
  </si>
  <si>
    <t>Verificatierapport t.a.v. DO lijnenontwerp (incl. afstemmingsoverleg) 2026?</t>
  </si>
  <si>
    <t>STELPOST - RFC later</t>
  </si>
  <si>
    <t>TOTAAL UREN</t>
  </si>
  <si>
    <t>check</t>
  </si>
  <si>
    <t>TOTAAL KOSTEN PER FUNCTIE</t>
  </si>
  <si>
    <t>Totale Kosten</t>
  </si>
  <si>
    <t>Ten aanzien van het onderscheid junior,  medior en senior geldt hetvolgende:</t>
  </si>
  <si>
    <t>- een junior beschikt over &lt; 3 jaar relevante werkervaring.</t>
  </si>
  <si>
    <t>- een medior beschikt over 3-10 jaar relevante werkervaring.</t>
  </si>
  <si>
    <t>- een senior beschikt over &gt; 10 jaar relevante werkervaring.</t>
  </si>
  <si>
    <t>Tekenaar</t>
  </si>
  <si>
    <t>Boormedewerker</t>
  </si>
  <si>
    <t>Veldmedewerker</t>
  </si>
  <si>
    <t>Projectmgt assistent</t>
  </si>
  <si>
    <t>Adviseur</t>
  </si>
  <si>
    <t>Toezichthouder Cultuurtechniek</t>
  </si>
  <si>
    <t>GIS medewerker</t>
  </si>
  <si>
    <t>Projectplanner</t>
  </si>
  <si>
    <t>Milieukundig begeleider</t>
  </si>
  <si>
    <t>Toets coördinator</t>
  </si>
  <si>
    <t>Auditor</t>
  </si>
  <si>
    <t>Systeemanalist / Netstrateeg</t>
  </si>
  <si>
    <t>Netstrateeg</t>
  </si>
  <si>
    <t>Adviseur (Geotechniek/NIM/SE/SHE/DZH/Archeologie/Bodem/NGE/FloraFauna/Ecologie/Geohydroloog)</t>
  </si>
  <si>
    <t>Contractspecialist/-schrijver /-jurist</t>
  </si>
  <si>
    <t>Cost Engineer</t>
  </si>
  <si>
    <t>SE Engineer/consultant</t>
  </si>
  <si>
    <t>Database consultant / Data Analist</t>
  </si>
  <si>
    <t>Animatie specialist</t>
  </si>
  <si>
    <t>Risicomanager / Lead Auditor</t>
  </si>
  <si>
    <t xml:space="preserve">Kasper Dashorst </t>
  </si>
  <si>
    <t>T125475</t>
  </si>
  <si>
    <t>Uitvoeren magneetveldberekeningen 150kV station Aarle-Rixtel</t>
  </si>
  <si>
    <t>Uitgangspuntendocument (verzamelen data &amp; vaststellen aannames)</t>
  </si>
  <si>
    <t>Berekening en simulaties van bestaande situatie (ARI150 Enkelrail + passage lijn)</t>
  </si>
  <si>
    <t>Berekening en simulaties van toekomstige situatie (ARI150 Dubbelrail + inlussing Uden-Helmond Zuid)</t>
  </si>
  <si>
    <t>Opstellen Rapportage (Concept &amp; Definitief), inclusief magneetveldcontouren en kaarten (PDF formaat)</t>
  </si>
  <si>
    <t>Overleggen en afstemming (Kick-off &amp; voortgang)</t>
  </si>
  <si>
    <t>Algehele projectleiding, planning, QA/QC, facturatie &amp;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</si>
</sst>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€&quot;\ * #,##0.00_ ;_ &quot;€&quot;\ * \-#,##0.00_ ;_ &quot;€&quot;\ * &quot;-&quot;??_ ;_ @_ "/>
    <numFmt numFmtId="164" formatCode="&quot;€&quot;\ #,##0.00"/>
    <numFmt numFmtId="165" formatCode="#,##0_ ;\-#,##0\ "/>
    <numFmt numFmtId="166" formatCode="[$-413]d\ mmmm\ yyyy;@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"/>
      <name val="Arial"/>
      <family val="2"/>
    </font>
    <font>
      <u/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hair">
        <color theme="0" tint="-0.24994659260841701"/>
      </bottom>
      <diagonal/>
    </border>
    <border>
      <left/>
      <right/>
      <top style="thin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hair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24994659260841701"/>
      </left>
      <right/>
      <top style="hair">
        <color theme="0" tint="-0.24994659260841701"/>
      </top>
      <bottom style="hair">
        <color theme="0" tint="-0.24994659260841701"/>
      </bottom>
      <diagonal/>
    </border>
  </borders>
  <cellStyleXfs count="2">
    <xf numFmtId="0" fontId="0" fillId="0" borderId="0"/>
    <xf numFmtId="0" fontId="8" fillId="0" borderId="0"/>
  </cellStyleXfs>
  <cellXfs count="83">
    <xf numFmtId="0" fontId="0" fillId="0" borderId="0" xfId="0"/>
    <xf numFmtId="0" fontId="2" fillId="0" borderId="5" xfId="0" applyFont="1" applyBorder="1" applyAlignment="1">
      <alignment horizontal="left" vertical="top"/>
    </xf>
    <xf numFmtId="0" fontId="2" fillId="0" borderId="0" xfId="0" quotePrefix="1" applyFont="1" applyAlignment="1">
      <alignment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6" fillId="2" borderId="0" xfId="0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3" fillId="2" borderId="0" xfId="0" applyFont="1" applyFill="1" applyAlignment="1">
      <alignment horizontal="left" vertical="top"/>
    </xf>
    <xf numFmtId="0" fontId="2" fillId="4" borderId="8" xfId="0" applyFont="1" applyFill="1" applyBorder="1" applyAlignment="1" applyProtection="1">
      <alignment vertical="top"/>
      <protection locked="0"/>
    </xf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2" fillId="0" borderId="0" xfId="0" applyFont="1" applyAlignment="1">
      <alignment horizontal="left" vertical="top"/>
    </xf>
    <xf numFmtId="0" fontId="6" fillId="2" borderId="13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right" vertical="top"/>
    </xf>
    <xf numFmtId="0" fontId="2" fillId="2" borderId="0" xfId="0" applyFont="1" applyFill="1" applyAlignment="1">
      <alignment horizontal="left" vertical="top"/>
    </xf>
    <xf numFmtId="0" fontId="3" fillId="3" borderId="12" xfId="0" applyFont="1" applyFill="1" applyBorder="1" applyAlignment="1">
      <alignment vertical="top" textRotation="90"/>
    </xf>
    <xf numFmtId="0" fontId="3" fillId="0" borderId="0" xfId="0" applyFont="1" applyAlignment="1">
      <alignment vertical="top"/>
    </xf>
    <xf numFmtId="0" fontId="2" fillId="0" borderId="10" xfId="0" applyFont="1" applyBorder="1" applyAlignment="1" applyProtection="1">
      <alignment horizontal="center" vertical="top"/>
      <protection locked="0"/>
    </xf>
    <xf numFmtId="0" fontId="2" fillId="2" borderId="4" xfId="0" applyFont="1" applyFill="1" applyBorder="1" applyAlignment="1">
      <alignment horizontal="center" vertical="top"/>
    </xf>
    <xf numFmtId="0" fontId="3" fillId="2" borderId="0" xfId="0" applyFont="1" applyFill="1" applyAlignment="1">
      <alignment vertical="top"/>
    </xf>
    <xf numFmtId="0" fontId="4" fillId="7" borderId="0" xfId="0" applyFont="1" applyFill="1" applyAlignment="1">
      <alignment vertical="top"/>
    </xf>
    <xf numFmtId="0" fontId="2" fillId="7" borderId="0" xfId="0" applyFont="1" applyFill="1" applyAlignment="1">
      <alignment vertical="top"/>
    </xf>
    <xf numFmtId="0" fontId="3" fillId="5" borderId="1" xfId="0" applyFont="1" applyFill="1" applyBorder="1" applyAlignment="1">
      <alignment vertical="top"/>
    </xf>
    <xf numFmtId="0" fontId="2" fillId="5" borderId="0" xfId="0" applyFont="1" applyFill="1" applyAlignment="1">
      <alignment horizontal="center" vertical="top"/>
    </xf>
    <xf numFmtId="1" fontId="2" fillId="3" borderId="7" xfId="0" applyNumberFormat="1" applyFont="1" applyFill="1" applyBorder="1" applyAlignment="1" applyProtection="1">
      <alignment horizontal="center" vertical="top"/>
      <protection locked="0"/>
    </xf>
    <xf numFmtId="44" fontId="7" fillId="6" borderId="0" xfId="0" applyNumberFormat="1" applyFont="1" applyFill="1" applyAlignment="1">
      <alignment vertical="top"/>
    </xf>
    <xf numFmtId="44" fontId="3" fillId="0" borderId="0" xfId="0" applyNumberFormat="1" applyFont="1" applyAlignment="1">
      <alignment vertical="top"/>
    </xf>
    <xf numFmtId="1" fontId="2" fillId="0" borderId="7" xfId="0" applyNumberFormat="1" applyFont="1" applyBorder="1" applyAlignment="1" applyProtection="1">
      <alignment horizontal="center" vertical="top"/>
      <protection locked="0"/>
    </xf>
    <xf numFmtId="44" fontId="7" fillId="0" borderId="0" xfId="0" applyNumberFormat="1" applyFont="1" applyAlignment="1">
      <alignment vertical="top"/>
    </xf>
    <xf numFmtId="0" fontId="2" fillId="5" borderId="0" xfId="0" applyFont="1" applyFill="1" applyAlignment="1">
      <alignment vertical="top"/>
    </xf>
    <xf numFmtId="44" fontId="2" fillId="0" borderId="0" xfId="0" applyNumberFormat="1" applyFont="1" applyAlignment="1">
      <alignment vertical="top"/>
    </xf>
    <xf numFmtId="164" fontId="7" fillId="6" borderId="0" xfId="0" applyNumberFormat="1" applyFont="1" applyFill="1" applyAlignment="1">
      <alignment vertical="top"/>
    </xf>
    <xf numFmtId="164" fontId="4" fillId="6" borderId="0" xfId="0" applyNumberFormat="1" applyFont="1" applyFill="1" applyAlignment="1">
      <alignment vertical="top"/>
    </xf>
    <xf numFmtId="165" fontId="7" fillId="6" borderId="0" xfId="0" applyNumberFormat="1" applyFont="1" applyFill="1" applyAlignment="1">
      <alignment horizontal="center" vertical="top"/>
    </xf>
    <xf numFmtId="164" fontId="2" fillId="0" borderId="0" xfId="0" applyNumberFormat="1" applyFont="1" applyAlignment="1">
      <alignment vertical="top"/>
    </xf>
    <xf numFmtId="44" fontId="7" fillId="6" borderId="0" xfId="0" applyNumberFormat="1" applyFont="1" applyFill="1" applyAlignment="1">
      <alignment horizontal="center" vertical="top"/>
    </xf>
    <xf numFmtId="0" fontId="10" fillId="0" borderId="0" xfId="0" applyFont="1" applyAlignment="1">
      <alignment vertical="top"/>
    </xf>
    <xf numFmtId="2" fontId="10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9" fillId="0" borderId="0" xfId="0" applyFont="1" applyAlignment="1">
      <alignment vertical="top"/>
    </xf>
    <xf numFmtId="2" fontId="2" fillId="0" borderId="0" xfId="0" applyNumberFormat="1" applyFont="1" applyAlignment="1">
      <alignment horizontal="left" vertical="top" wrapText="1"/>
    </xf>
    <xf numFmtId="164" fontId="3" fillId="6" borderId="0" xfId="0" applyNumberFormat="1" applyFont="1" applyFill="1" applyAlignment="1">
      <alignment horizontal="right"/>
    </xf>
    <xf numFmtId="0" fontId="2" fillId="0" borderId="0" xfId="0" applyFont="1" applyAlignment="1">
      <alignment horizontal="right" vertical="top" indent="1"/>
    </xf>
    <xf numFmtId="166" fontId="2" fillId="4" borderId="8" xfId="0" applyNumberFormat="1" applyFont="1" applyFill="1" applyBorder="1" applyAlignment="1" applyProtection="1">
      <alignment horizontal="left" vertical="top"/>
      <protection locked="0"/>
    </xf>
    <xf numFmtId="0" fontId="2" fillId="2" borderId="0" xfId="0" quotePrefix="1" applyFont="1" applyFill="1" applyAlignment="1">
      <alignment vertical="top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/>
    <xf numFmtId="0" fontId="2" fillId="3" borderId="6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5" xfId="0" applyFont="1" applyFill="1" applyBorder="1" applyAlignment="1">
      <alignment horizontal="center"/>
    </xf>
    <xf numFmtId="2" fontId="2" fillId="3" borderId="15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1" fontId="2" fillId="3" borderId="7" xfId="0" applyNumberFormat="1" applyFont="1" applyFill="1" applyBorder="1" applyAlignment="1" applyProtection="1">
      <alignment horizontal="center" vertical="top" wrapText="1"/>
      <protection locked="0"/>
    </xf>
    <xf numFmtId="0" fontId="2" fillId="0" borderId="0" xfId="0" applyFont="1" applyAlignment="1">
      <alignment vertical="top" wrapText="1"/>
    </xf>
    <xf numFmtId="0" fontId="2" fillId="0" borderId="3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/>
    </xf>
    <xf numFmtId="1" fontId="2" fillId="0" borderId="7" xfId="0" applyNumberFormat="1" applyFont="1" applyBorder="1" applyAlignment="1" applyProtection="1">
      <alignment horizontal="center" vertical="top" wrapText="1"/>
      <protection locked="0"/>
    </xf>
    <xf numFmtId="164" fontId="3" fillId="6" borderId="0" xfId="0" applyNumberFormat="1" applyFont="1" applyFill="1" applyAlignment="1">
      <alignment horizontal="right"/>
    </xf>
    <xf numFmtId="0" fontId="6" fillId="2" borderId="13" xfId="0" applyFont="1" applyFill="1" applyBorder="1" applyAlignment="1">
      <alignment horizontal="center" vertical="top"/>
    </xf>
    <xf numFmtId="0" fontId="3" fillId="3" borderId="11" xfId="0" applyFont="1" applyFill="1" applyBorder="1" applyAlignment="1">
      <alignment horizontal="center" vertical="top" textRotation="90"/>
    </xf>
    <xf numFmtId="0" fontId="3" fillId="3" borderId="14" xfId="0" applyFont="1" applyFill="1" applyBorder="1" applyAlignment="1">
      <alignment horizontal="center" vertical="top" textRotation="90"/>
    </xf>
    <xf numFmtId="0" fontId="3" fillId="3" borderId="12" xfId="0" applyFont="1" applyFill="1" applyBorder="1" applyAlignment="1">
      <alignment horizontal="center" vertical="top" textRotation="90"/>
    </xf>
    <xf numFmtId="0" fontId="4" fillId="7" borderId="6" xfId="0" applyFont="1" applyFill="1" applyBorder="1" applyAlignment="1">
      <alignment horizontal="center" vertical="top"/>
    </xf>
    <xf numFmtId="0" fontId="4" fillId="7" borderId="0" xfId="0" applyFont="1" applyFill="1" applyAlignment="1">
      <alignment horizontal="center" vertical="top"/>
    </xf>
    <xf numFmtId="0" fontId="4" fillId="7" borderId="15" xfId="0" applyFont="1" applyFill="1" applyBorder="1" applyAlignment="1">
      <alignment horizontal="center" vertical="top"/>
    </xf>
    <xf numFmtId="1" fontId="2" fillId="3" borderId="16" xfId="0" applyNumberFormat="1" applyFont="1" applyFill="1" applyBorder="1" applyAlignment="1" applyProtection="1">
      <alignment horizontal="center" vertical="top"/>
      <protection locked="0"/>
    </xf>
    <xf numFmtId="1" fontId="2" fillId="3" borderId="3" xfId="0" applyNumberFormat="1" applyFont="1" applyFill="1" applyBorder="1" applyAlignment="1" applyProtection="1">
      <alignment horizontal="center" vertical="top"/>
      <protection locked="0"/>
    </xf>
    <xf numFmtId="1" fontId="2" fillId="3" borderId="9" xfId="0" applyNumberFormat="1" applyFont="1" applyFill="1" applyBorder="1" applyAlignment="1" applyProtection="1">
      <alignment horizontal="center" vertical="top"/>
      <protection locked="0"/>
    </xf>
    <xf numFmtId="0" fontId="2" fillId="0" borderId="3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3" fillId="5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</cellXfs>
  <cellStyles count="2">
    <cellStyle name="Normal" xfId="0" builtinId="0"/>
    <cellStyle name="Standaard 2" xfId="1" xr:uid="{00000000-0005-0000-0000-000001000000}"/>
  </cellStyles>
  <dxfs count="19">
    <dxf>
      <fill>
        <patternFill>
          <bgColor theme="9" tint="0.7999816888943144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</dxfs>
  <tableStyles count="0" defaultTableStyle="TableStyleMedium9" defaultPivotStyle="PivotStyleLight16"/>
  <colors>
    <mruColors>
      <color rgb="FFFF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11206</xdr:colOff>
      <xdr:row>0</xdr:row>
      <xdr:rowOff>0</xdr:rowOff>
    </xdr:from>
    <xdr:to>
      <xdr:col>3</xdr:col>
      <xdr:colOff>341340</xdr:colOff>
      <xdr:row>2</xdr:row>
      <xdr:rowOff>33842</xdr:rowOff>
    </xdr:to>
    <xdr:pic>
      <xdr:nvPicPr>
        <xdr:cNvPr id="2" name="Afbeelding 1" descr="H:\Nieuwe TenneT logo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6" y="0"/>
          <a:ext cx="1680144" cy="47770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H47"/>
  <sheetViews>
    <sheetView showGridLines="0" tabSelected="1" zoomScaleNormal="100" zoomScalePageLayoutView="85" workbookViewId="0">
      <selection activeCell="X21" sqref="X21"/>
    </sheetView>
  </sheetViews>
  <sheetFormatPr defaultColWidth="9.140625" defaultRowHeight="14.25" x14ac:dyDescent="0.25"/>
  <cols>
    <col min="1" max="1" width="0.42578125" style="8" customWidth="1"/>
    <col min="2" max="2" width="3.85546875" style="8" customWidth="1"/>
    <col min="3" max="3" width="15.7109375" style="8" customWidth="1"/>
    <col min="4" max="4" width="38" style="8" customWidth="1"/>
    <col min="5" max="5" width="19.42578125" style="8" customWidth="1"/>
    <col min="6" max="6" width="10.42578125" style="8" customWidth="1"/>
    <col min="7" max="8" width="9" style="8" hidden="1" customWidth="1"/>
    <col min="9" max="9" width="12.42578125" style="8" customWidth="1"/>
    <col min="10" max="14" width="9" style="8" hidden="1" customWidth="1"/>
    <col min="15" max="15" width="10.140625" style="8" hidden="1" customWidth="1"/>
    <col min="16" max="16" width="9.28515625" style="8" hidden="1" customWidth="1"/>
    <col min="17" max="18" width="10.140625" style="8" hidden="1" customWidth="1"/>
    <col min="19" max="19" width="9" style="8" hidden="1" customWidth="1"/>
    <col min="20" max="21" width="10.140625" style="8" hidden="1" customWidth="1"/>
    <col min="22" max="24" width="10.140625" style="8" bestFit="1" customWidth="1"/>
    <col min="25" max="26" width="10.140625" style="8" hidden="1" customWidth="1"/>
    <col min="27" max="27" width="12.42578125" style="8" customWidth="1"/>
    <col min="28" max="30" width="10.140625" style="8" hidden="1" customWidth="1"/>
    <col min="31" max="31" width="11.85546875" style="8" hidden="1" customWidth="1"/>
    <col min="32" max="32" width="21.42578125" style="8" bestFit="1" customWidth="1"/>
    <col min="33" max="33" width="19.140625" style="8" bestFit="1" customWidth="1"/>
    <col min="34" max="34" width="18.140625" style="8" customWidth="1"/>
    <col min="35" max="16384" width="9.140625" style="8"/>
  </cols>
  <sheetData>
    <row r="1" spans="2:33" ht="18" x14ac:dyDescent="0.25">
      <c r="B1" s="6"/>
      <c r="C1" s="6"/>
      <c r="D1" s="6"/>
      <c r="E1" s="6"/>
      <c r="F1" s="7" t="s">
        <v>0</v>
      </c>
    </row>
    <row r="2" spans="2:33" ht="18" x14ac:dyDescent="0.25">
      <c r="B2" s="6"/>
      <c r="C2" s="6"/>
      <c r="D2" s="6"/>
      <c r="E2" s="6"/>
      <c r="F2" s="7"/>
    </row>
    <row r="3" spans="2:33" x14ac:dyDescent="0.25">
      <c r="B3" s="6"/>
      <c r="C3" s="6"/>
      <c r="D3" s="6"/>
    </row>
    <row r="4" spans="2:33" x14ac:dyDescent="0.25">
      <c r="B4" s="6"/>
      <c r="C4" s="9" t="s">
        <v>1</v>
      </c>
      <c r="D4" s="10" t="s">
        <v>60</v>
      </c>
      <c r="E4" s="11"/>
    </row>
    <row r="5" spans="2:33" x14ac:dyDescent="0.25">
      <c r="B5" s="6"/>
      <c r="C5" s="9" t="s">
        <v>2</v>
      </c>
      <c r="D5" s="10" t="s">
        <v>62</v>
      </c>
      <c r="E5" s="6"/>
    </row>
    <row r="6" spans="2:33" x14ac:dyDescent="0.25">
      <c r="B6" s="6"/>
      <c r="C6" s="9" t="s">
        <v>3</v>
      </c>
      <c r="D6" s="10" t="s">
        <v>61</v>
      </c>
      <c r="E6" s="6"/>
    </row>
    <row r="7" spans="2:33" x14ac:dyDescent="0.25">
      <c r="B7" s="6"/>
      <c r="C7" s="9" t="s">
        <v>4</v>
      </c>
      <c r="D7" s="46">
        <v>46007</v>
      </c>
      <c r="E7" s="6"/>
    </row>
    <row r="8" spans="2:33" x14ac:dyDescent="0.25">
      <c r="B8" s="6"/>
      <c r="C8" s="9" t="s">
        <v>5</v>
      </c>
      <c r="D8" s="10" t="s">
        <v>6</v>
      </c>
      <c r="E8" s="6"/>
    </row>
    <row r="9" spans="2:33" x14ac:dyDescent="0.25">
      <c r="B9" s="6"/>
      <c r="C9" s="6"/>
      <c r="D9" s="47" t="s">
        <v>7</v>
      </c>
      <c r="E9" s="47"/>
      <c r="F9" s="6"/>
    </row>
    <row r="10" spans="2:33" x14ac:dyDescent="0.25">
      <c r="B10" s="6"/>
      <c r="C10" s="6"/>
      <c r="D10" s="12"/>
      <c r="E10" s="12"/>
      <c r="F10" s="13" t="s">
        <v>8</v>
      </c>
      <c r="G10" s="66">
        <v>1</v>
      </c>
      <c r="H10" s="66"/>
      <c r="I10" s="66"/>
      <c r="J10" s="66">
        <v>2</v>
      </c>
      <c r="K10" s="66"/>
      <c r="L10" s="66"/>
      <c r="M10" s="66">
        <v>3</v>
      </c>
      <c r="N10" s="66"/>
      <c r="O10" s="66"/>
      <c r="P10" s="66">
        <v>4</v>
      </c>
      <c r="Q10" s="66"/>
      <c r="R10" s="66"/>
      <c r="S10" s="66">
        <v>5</v>
      </c>
      <c r="T10" s="66"/>
      <c r="U10" s="66"/>
      <c r="V10" s="66">
        <v>6</v>
      </c>
      <c r="W10" s="66"/>
      <c r="X10" s="66"/>
      <c r="Y10" s="66">
        <v>7</v>
      </c>
      <c r="Z10" s="66"/>
      <c r="AA10" s="66"/>
      <c r="AB10" s="66">
        <v>8</v>
      </c>
      <c r="AC10" s="66"/>
      <c r="AD10" s="66"/>
      <c r="AE10" s="14">
        <v>9</v>
      </c>
    </row>
    <row r="11" spans="2:33" s="3" customFormat="1" ht="11.25" x14ac:dyDescent="0.25">
      <c r="B11" s="12"/>
      <c r="C11" s="12"/>
      <c r="D11" s="15"/>
      <c r="E11" s="15"/>
      <c r="F11" s="16" t="s">
        <v>9</v>
      </c>
      <c r="G11" s="67"/>
      <c r="H11" s="68"/>
      <c r="I11" s="69"/>
      <c r="J11" s="67"/>
      <c r="K11" s="68"/>
      <c r="L11" s="69"/>
      <c r="M11" s="67"/>
      <c r="N11" s="68"/>
      <c r="O11" s="69"/>
      <c r="P11" s="67"/>
      <c r="Q11" s="68"/>
      <c r="R11" s="69"/>
      <c r="S11" s="67"/>
      <c r="T11" s="68"/>
      <c r="U11" s="69"/>
      <c r="V11" s="67"/>
      <c r="W11" s="68"/>
      <c r="X11" s="69"/>
      <c r="Y11" s="67"/>
      <c r="Z11" s="68"/>
      <c r="AA11" s="69"/>
      <c r="AB11" s="67"/>
      <c r="AC11" s="68"/>
      <c r="AD11" s="69"/>
      <c r="AE11" s="17"/>
      <c r="AF11" s="18"/>
    </row>
    <row r="12" spans="2:33" s="3" customFormat="1" ht="11.25" x14ac:dyDescent="0.25">
      <c r="B12" s="12"/>
      <c r="C12" s="12"/>
      <c r="D12" s="15"/>
      <c r="E12" s="15"/>
      <c r="F12" s="3" t="s">
        <v>10</v>
      </c>
      <c r="G12" s="19" t="s">
        <v>11</v>
      </c>
      <c r="H12" s="19" t="s">
        <v>12</v>
      </c>
      <c r="I12" s="19" t="s">
        <v>13</v>
      </c>
      <c r="J12" s="19" t="s">
        <v>11</v>
      </c>
      <c r="K12" s="19" t="s">
        <v>12</v>
      </c>
      <c r="L12" s="19" t="s">
        <v>13</v>
      </c>
      <c r="M12" s="19" t="s">
        <v>11</v>
      </c>
      <c r="N12" s="19" t="s">
        <v>12</v>
      </c>
      <c r="O12" s="19" t="s">
        <v>13</v>
      </c>
      <c r="P12" s="19" t="s">
        <v>11</v>
      </c>
      <c r="Q12" s="19" t="s">
        <v>12</v>
      </c>
      <c r="R12" s="19" t="s">
        <v>13</v>
      </c>
      <c r="S12" s="19" t="s">
        <v>11</v>
      </c>
      <c r="T12" s="19" t="s">
        <v>12</v>
      </c>
      <c r="U12" s="19" t="s">
        <v>13</v>
      </c>
      <c r="V12" s="19" t="s">
        <v>11</v>
      </c>
      <c r="W12" s="19" t="s">
        <v>12</v>
      </c>
      <c r="X12" s="19" t="s">
        <v>13</v>
      </c>
      <c r="Y12" s="19" t="s">
        <v>11</v>
      </c>
      <c r="Z12" s="19" t="s">
        <v>12</v>
      </c>
      <c r="AA12" s="19" t="s">
        <v>13</v>
      </c>
      <c r="AB12" s="19" t="s">
        <v>11</v>
      </c>
      <c r="AC12" s="19" t="s">
        <v>12</v>
      </c>
      <c r="AD12" s="19" t="s">
        <v>13</v>
      </c>
      <c r="AE12" s="19" t="s">
        <v>13</v>
      </c>
    </row>
    <row r="13" spans="2:33" s="3" customFormat="1" ht="11.25" x14ac:dyDescent="0.2">
      <c r="B13" s="12"/>
      <c r="C13" s="12"/>
      <c r="D13" s="15"/>
      <c r="E13" s="15"/>
      <c r="F13" s="16" t="s">
        <v>14</v>
      </c>
      <c r="G13" s="55">
        <v>70.349999999999994</v>
      </c>
      <c r="H13" s="55">
        <v>82.08</v>
      </c>
      <c r="I13" s="55">
        <v>95.62</v>
      </c>
      <c r="J13" s="55">
        <v>82.08</v>
      </c>
      <c r="K13" s="55">
        <v>93.8</v>
      </c>
      <c r="L13" s="55">
        <v>105.53</v>
      </c>
      <c r="M13" s="55">
        <v>87.94</v>
      </c>
      <c r="N13" s="55">
        <v>105.53</v>
      </c>
      <c r="O13" s="55">
        <v>123.12</v>
      </c>
      <c r="P13" s="55">
        <v>93.8</v>
      </c>
      <c r="Q13" s="55">
        <v>117.25</v>
      </c>
      <c r="R13" s="55">
        <v>140.71</v>
      </c>
      <c r="S13" s="55">
        <v>105.53</v>
      </c>
      <c r="T13" s="55">
        <v>128.97999999999999</v>
      </c>
      <c r="U13" s="55">
        <v>152.43</v>
      </c>
      <c r="V13" s="55">
        <v>119.53</v>
      </c>
      <c r="W13" s="55">
        <v>143.44</v>
      </c>
      <c r="X13" s="55">
        <v>167.34</v>
      </c>
      <c r="Y13" s="55">
        <v>128.97999999999999</v>
      </c>
      <c r="Z13" s="55">
        <v>152.43</v>
      </c>
      <c r="AA13" s="55">
        <v>179.29</v>
      </c>
      <c r="AB13" s="55">
        <v>140.71</v>
      </c>
      <c r="AC13" s="55">
        <v>164.16</v>
      </c>
      <c r="AD13" s="55">
        <v>187.61</v>
      </c>
      <c r="AE13" s="55">
        <v>211.06</v>
      </c>
    </row>
    <row r="14" spans="2:33" s="3" customFormat="1" ht="11.25" x14ac:dyDescent="0.2">
      <c r="B14" s="12"/>
      <c r="C14" s="12"/>
      <c r="D14" s="15"/>
      <c r="E14" s="15"/>
      <c r="F14" s="16"/>
      <c r="G14" s="51"/>
      <c r="H14" s="52"/>
      <c r="I14" s="53"/>
      <c r="J14" s="51"/>
      <c r="K14" s="52"/>
      <c r="L14" s="53"/>
      <c r="M14" s="51"/>
      <c r="N14" s="52"/>
      <c r="O14" s="53"/>
      <c r="P14" s="51"/>
      <c r="Q14" s="52"/>
      <c r="R14" s="53"/>
      <c r="S14" s="51"/>
      <c r="T14" s="52"/>
      <c r="U14" s="54"/>
      <c r="V14" s="51"/>
      <c r="W14" s="52"/>
      <c r="X14" s="53"/>
      <c r="Y14" s="51"/>
      <c r="Z14" s="52"/>
      <c r="AA14" s="53"/>
      <c r="AB14" s="51"/>
      <c r="AC14" s="52"/>
      <c r="AD14" s="53"/>
      <c r="AE14" s="52"/>
    </row>
    <row r="15" spans="2:33" s="3" customFormat="1" ht="11.25" x14ac:dyDescent="0.25">
      <c r="B15" s="20" t="s">
        <v>15</v>
      </c>
      <c r="C15" s="21" t="s">
        <v>16</v>
      </c>
      <c r="D15" s="21"/>
      <c r="E15" s="21"/>
      <c r="F15" s="15"/>
      <c r="G15" s="70" t="s">
        <v>17</v>
      </c>
      <c r="H15" s="71"/>
      <c r="I15" s="72"/>
      <c r="J15" s="70" t="s">
        <v>17</v>
      </c>
      <c r="K15" s="71"/>
      <c r="L15" s="72"/>
      <c r="M15" s="70" t="s">
        <v>17</v>
      </c>
      <c r="N15" s="71"/>
      <c r="O15" s="72"/>
      <c r="P15" s="70" t="s">
        <v>17</v>
      </c>
      <c r="Q15" s="71"/>
      <c r="R15" s="72"/>
      <c r="S15" s="70" t="s">
        <v>17</v>
      </c>
      <c r="T15" s="71"/>
      <c r="U15" s="72"/>
      <c r="V15" s="70" t="s">
        <v>17</v>
      </c>
      <c r="W15" s="71"/>
      <c r="X15" s="72"/>
      <c r="Y15" s="70" t="s">
        <v>17</v>
      </c>
      <c r="Z15" s="71"/>
      <c r="AA15" s="72"/>
      <c r="AB15" s="70" t="s">
        <v>17</v>
      </c>
      <c r="AC15" s="71"/>
      <c r="AD15" s="72"/>
      <c r="AE15" s="22" t="s">
        <v>17</v>
      </c>
      <c r="AF15" s="23"/>
      <c r="AG15" s="23"/>
    </row>
    <row r="16" spans="2:33" s="3" customFormat="1" ht="15" customHeight="1" x14ac:dyDescent="0.25">
      <c r="B16" s="24" t="s">
        <v>18</v>
      </c>
      <c r="C16" s="80" t="s">
        <v>19</v>
      </c>
      <c r="D16" s="80"/>
      <c r="E16" s="80" t="s">
        <v>20</v>
      </c>
      <c r="F16" s="80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</row>
    <row r="17" spans="2:33" s="3" customFormat="1" ht="15" customHeight="1" x14ac:dyDescent="0.25">
      <c r="B17" s="1" t="s">
        <v>21</v>
      </c>
      <c r="C17" s="63" t="s">
        <v>63</v>
      </c>
      <c r="D17" s="63"/>
      <c r="E17" s="76"/>
      <c r="F17" s="77"/>
      <c r="G17" s="26"/>
      <c r="H17" s="26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>
        <v>4</v>
      </c>
      <c r="W17" s="29">
        <v>8</v>
      </c>
      <c r="X17" s="29">
        <v>0</v>
      </c>
      <c r="Y17" s="29"/>
      <c r="Z17" s="29"/>
      <c r="AA17" s="29">
        <v>1</v>
      </c>
      <c r="AB17" s="26"/>
      <c r="AC17" s="26"/>
      <c r="AD17" s="26"/>
      <c r="AE17" s="26"/>
      <c r="AF17" s="27">
        <f>SUMPRODUCT(G$13:AE$13,G17:AE17)</f>
        <v>1804.9299999999998</v>
      </c>
      <c r="AG17" s="28">
        <f>SUM(AF17:AF28)</f>
        <v>27647.41</v>
      </c>
    </row>
    <row r="18" spans="2:33" s="3" customFormat="1" ht="11.25" x14ac:dyDescent="0.25">
      <c r="B18" s="1" t="s">
        <v>22</v>
      </c>
      <c r="C18" s="63" t="s">
        <v>64</v>
      </c>
      <c r="D18" s="63"/>
      <c r="E18" s="76"/>
      <c r="F18" s="77"/>
      <c r="G18" s="26"/>
      <c r="H18" s="26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>
        <v>40</v>
      </c>
      <c r="W18" s="29">
        <v>16</v>
      </c>
      <c r="X18" s="29">
        <v>0</v>
      </c>
      <c r="Y18" s="29"/>
      <c r="Z18" s="29"/>
      <c r="AA18" s="29">
        <v>8</v>
      </c>
      <c r="AB18" s="26"/>
      <c r="AC18" s="26"/>
      <c r="AD18" s="26"/>
      <c r="AE18" s="26"/>
      <c r="AF18" s="27">
        <f t="shared" ref="AF18:AF28" si="0">SUMPRODUCT(G$13:AE$13,G18:AE18)</f>
        <v>8510.56</v>
      </c>
    </row>
    <row r="19" spans="2:33" s="3" customFormat="1" ht="11.25" x14ac:dyDescent="0.25">
      <c r="B19" s="1" t="s">
        <v>23</v>
      </c>
      <c r="C19" s="63" t="s">
        <v>65</v>
      </c>
      <c r="D19" s="63"/>
      <c r="E19" s="76"/>
      <c r="F19" s="77"/>
      <c r="G19" s="26"/>
      <c r="H19" s="26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>
        <v>40</v>
      </c>
      <c r="W19" s="29">
        <v>16</v>
      </c>
      <c r="X19" s="29">
        <v>0</v>
      </c>
      <c r="Y19" s="29"/>
      <c r="Z19" s="29"/>
      <c r="AA19" s="29">
        <v>0</v>
      </c>
      <c r="AB19" s="26"/>
      <c r="AC19" s="26"/>
      <c r="AD19" s="26"/>
      <c r="AE19" s="26"/>
      <c r="AF19" s="27">
        <f t="shared" si="0"/>
        <v>7076.24</v>
      </c>
    </row>
    <row r="20" spans="2:33" s="3" customFormat="1" ht="24" customHeight="1" x14ac:dyDescent="0.25">
      <c r="B20" s="1" t="s">
        <v>24</v>
      </c>
      <c r="C20" s="4" t="s">
        <v>66</v>
      </c>
      <c r="D20" s="4"/>
      <c r="E20" s="76"/>
      <c r="F20" s="77"/>
      <c r="G20" s="26"/>
      <c r="H20" s="26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>
        <v>12</v>
      </c>
      <c r="W20" s="29">
        <v>8</v>
      </c>
      <c r="X20" s="29">
        <v>0</v>
      </c>
      <c r="Y20" s="29"/>
      <c r="Z20" s="29"/>
      <c r="AA20" s="29">
        <v>8</v>
      </c>
      <c r="AB20" s="26"/>
      <c r="AC20" s="26"/>
      <c r="AD20" s="26"/>
      <c r="AE20" s="26"/>
      <c r="AF20" s="27">
        <f t="shared" si="0"/>
        <v>4016.2</v>
      </c>
    </row>
    <row r="21" spans="2:33" s="3" customFormat="1" ht="36" customHeight="1" x14ac:dyDescent="0.25">
      <c r="B21" s="1" t="s">
        <v>25</v>
      </c>
      <c r="C21" s="4" t="s">
        <v>67</v>
      </c>
      <c r="D21" s="4"/>
      <c r="E21" s="76"/>
      <c r="F21" s="77"/>
      <c r="G21" s="26"/>
      <c r="H21" s="26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>
        <v>2</v>
      </c>
      <c r="W21" s="29">
        <v>2</v>
      </c>
      <c r="X21" s="29"/>
      <c r="Y21" s="29"/>
      <c r="Z21" s="29"/>
      <c r="AA21" s="29">
        <v>2</v>
      </c>
      <c r="AB21" s="26"/>
      <c r="AC21" s="26"/>
      <c r="AD21" s="26"/>
      <c r="AE21" s="26"/>
      <c r="AF21" s="27">
        <f t="shared" si="0"/>
        <v>884.52</v>
      </c>
    </row>
    <row r="22" spans="2:33" s="3" customFormat="1" ht="11.25" x14ac:dyDescent="0.25">
      <c r="B22" s="1" t="s">
        <v>26</v>
      </c>
      <c r="C22" s="63" t="s">
        <v>68</v>
      </c>
      <c r="D22" s="63"/>
      <c r="E22" s="59"/>
      <c r="F22" s="60"/>
      <c r="G22" s="26"/>
      <c r="H22" s="26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>
        <v>8</v>
      </c>
      <c r="W22" s="29">
        <v>16</v>
      </c>
      <c r="X22" s="29">
        <v>4</v>
      </c>
      <c r="Y22" s="29"/>
      <c r="Z22" s="29"/>
      <c r="AA22" s="29">
        <v>8</v>
      </c>
      <c r="AB22" s="26"/>
      <c r="AC22" s="26"/>
      <c r="AD22" s="26"/>
      <c r="AE22" s="26"/>
      <c r="AF22" s="27">
        <f>SUMPRODUCT(G$13:AE$13,G22:AE22)</f>
        <v>5354.96</v>
      </c>
    </row>
    <row r="23" spans="2:33" s="3" customFormat="1" ht="36" customHeight="1" x14ac:dyDescent="0.25">
      <c r="B23" s="1"/>
      <c r="C23" s="79"/>
      <c r="D23" s="79"/>
      <c r="E23" s="59"/>
      <c r="F23" s="60"/>
      <c r="G23" s="26"/>
      <c r="H23" s="26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6"/>
      <c r="AC23" s="26"/>
      <c r="AD23" s="26"/>
      <c r="AE23" s="26"/>
      <c r="AF23" s="27">
        <f>SUMPRODUCT(G$13:AE$13,G23:AE23)</f>
        <v>0</v>
      </c>
    </row>
    <row r="24" spans="2:33" s="3" customFormat="1" ht="48" customHeight="1" x14ac:dyDescent="0.25">
      <c r="B24" s="1"/>
      <c r="C24" s="79"/>
      <c r="D24" s="79"/>
      <c r="E24" s="59"/>
      <c r="F24" s="60"/>
      <c r="G24" s="26"/>
      <c r="H24" s="26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6"/>
      <c r="AC24" s="26"/>
      <c r="AD24" s="26"/>
      <c r="AE24" s="26"/>
      <c r="AF24" s="27">
        <f t="shared" si="0"/>
        <v>0</v>
      </c>
    </row>
    <row r="25" spans="2:33" s="58" customFormat="1" ht="22.5" customHeight="1" x14ac:dyDescent="0.25">
      <c r="B25" s="56"/>
      <c r="C25" s="79"/>
      <c r="D25" s="79"/>
      <c r="E25" s="81"/>
      <c r="F25" s="82"/>
      <c r="G25" s="57"/>
      <c r="H25" s="57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57"/>
      <c r="AC25" s="57"/>
      <c r="AD25" s="57"/>
      <c r="AE25" s="57"/>
      <c r="AF25" s="27">
        <f t="shared" si="0"/>
        <v>0</v>
      </c>
    </row>
    <row r="26" spans="2:33" s="58" customFormat="1" ht="22.5" customHeight="1" x14ac:dyDescent="0.25">
      <c r="B26" s="56"/>
      <c r="C26" s="79"/>
      <c r="D26" s="79"/>
      <c r="E26" s="61"/>
      <c r="F26" s="62"/>
      <c r="G26" s="57"/>
      <c r="H26" s="57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57"/>
      <c r="AC26" s="57"/>
      <c r="AD26" s="57"/>
      <c r="AE26" s="57"/>
      <c r="AF26" s="27">
        <f t="shared" si="0"/>
        <v>0</v>
      </c>
    </row>
    <row r="27" spans="2:33" s="3" customFormat="1" ht="11.25" x14ac:dyDescent="0.25">
      <c r="B27" s="1"/>
      <c r="C27" s="78"/>
      <c r="D27" s="78"/>
      <c r="E27" s="76"/>
      <c r="F27" s="77"/>
      <c r="G27" s="26"/>
      <c r="H27" s="26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6"/>
      <c r="AC27" s="26"/>
      <c r="AD27" s="26"/>
      <c r="AE27" s="26"/>
      <c r="AF27" s="27">
        <f t="shared" si="0"/>
        <v>0</v>
      </c>
    </row>
    <row r="28" spans="2:33" s="3" customFormat="1" ht="11.25" x14ac:dyDescent="0.25">
      <c r="B28" s="1"/>
      <c r="C28" s="78"/>
      <c r="D28" s="78"/>
      <c r="E28" s="76"/>
      <c r="F28" s="77"/>
      <c r="G28" s="26"/>
      <c r="H28" s="26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6"/>
      <c r="AC28" s="26"/>
      <c r="AD28" s="26"/>
      <c r="AE28" s="26"/>
      <c r="AF28" s="27">
        <f t="shared" si="0"/>
        <v>0</v>
      </c>
    </row>
    <row r="29" spans="2:33" s="3" customFormat="1" ht="11.25" x14ac:dyDescent="0.25">
      <c r="B29" s="1"/>
      <c r="C29" s="4"/>
      <c r="D29" s="4"/>
      <c r="E29" s="4"/>
      <c r="F29" s="5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B29" s="29"/>
      <c r="AC29" s="29"/>
      <c r="AD29" s="29"/>
      <c r="AE29" s="29"/>
      <c r="AF29" s="30"/>
    </row>
    <row r="30" spans="2:33" s="3" customFormat="1" ht="11.25" x14ac:dyDescent="0.25">
      <c r="B30" s="24" t="s">
        <v>27</v>
      </c>
      <c r="C30" s="80" t="s">
        <v>28</v>
      </c>
      <c r="D30" s="80"/>
      <c r="E30" s="80"/>
      <c r="F30" s="80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5"/>
      <c r="AG30" s="25"/>
    </row>
    <row r="31" spans="2:33" s="3" customFormat="1" ht="15" customHeight="1" x14ac:dyDescent="0.25">
      <c r="B31" s="1" t="s">
        <v>29</v>
      </c>
      <c r="C31" s="78" t="s">
        <v>30</v>
      </c>
      <c r="D31" s="78"/>
      <c r="E31" s="76"/>
      <c r="F31" s="77"/>
      <c r="G31" s="26"/>
      <c r="H31" s="26"/>
      <c r="I31" s="73" t="s">
        <v>31</v>
      </c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5"/>
      <c r="AB31" s="26"/>
      <c r="AC31" s="26"/>
      <c r="AD31" s="26"/>
      <c r="AE31" s="26"/>
      <c r="AF31" s="27">
        <f>SUMPRODUCT(G$13:AE$13,G31:AE31)</f>
        <v>0</v>
      </c>
      <c r="AG31" s="28">
        <f>SUM(AF31:AF31)</f>
        <v>0</v>
      </c>
    </row>
    <row r="32" spans="2:33" s="3" customFormat="1" ht="11.25" x14ac:dyDescent="0.25">
      <c r="B32" s="1"/>
      <c r="C32" s="4"/>
      <c r="D32" s="4"/>
      <c r="E32" s="4"/>
      <c r="F32" s="5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  <c r="AG32" s="28">
        <f>AG31+AG17</f>
        <v>27647.41</v>
      </c>
    </row>
    <row r="33" spans="2:34" s="36" customFormat="1" ht="11.25" x14ac:dyDescent="0.25">
      <c r="B33" s="33" t="s">
        <v>32</v>
      </c>
      <c r="C33" s="34"/>
      <c r="D33" s="34"/>
      <c r="E33" s="34"/>
      <c r="F33" s="34"/>
      <c r="G33" s="35">
        <f t="shared" ref="G33:AE33" si="1">SUM(G17:G31)</f>
        <v>0</v>
      </c>
      <c r="H33" s="35">
        <f t="shared" si="1"/>
        <v>0</v>
      </c>
      <c r="I33" s="35">
        <f t="shared" si="1"/>
        <v>0</v>
      </c>
      <c r="J33" s="35">
        <f t="shared" si="1"/>
        <v>0</v>
      </c>
      <c r="K33" s="35">
        <f t="shared" si="1"/>
        <v>0</v>
      </c>
      <c r="L33" s="35">
        <f t="shared" si="1"/>
        <v>0</v>
      </c>
      <c r="M33" s="35">
        <f t="shared" si="1"/>
        <v>0</v>
      </c>
      <c r="N33" s="35">
        <f t="shared" si="1"/>
        <v>0</v>
      </c>
      <c r="O33" s="35">
        <f t="shared" si="1"/>
        <v>0</v>
      </c>
      <c r="P33" s="35">
        <f t="shared" si="1"/>
        <v>0</v>
      </c>
      <c r="Q33" s="35">
        <f t="shared" si="1"/>
        <v>0</v>
      </c>
      <c r="R33" s="35">
        <f t="shared" si="1"/>
        <v>0</v>
      </c>
      <c r="S33" s="35">
        <f t="shared" si="1"/>
        <v>0</v>
      </c>
      <c r="T33" s="35">
        <f t="shared" si="1"/>
        <v>0</v>
      </c>
      <c r="U33" s="35">
        <f t="shared" si="1"/>
        <v>0</v>
      </c>
      <c r="V33" s="35">
        <f t="shared" si="1"/>
        <v>106</v>
      </c>
      <c r="W33" s="35">
        <f t="shared" si="1"/>
        <v>66</v>
      </c>
      <c r="X33" s="35">
        <f t="shared" si="1"/>
        <v>4</v>
      </c>
      <c r="Y33" s="35">
        <f t="shared" si="1"/>
        <v>0</v>
      </c>
      <c r="Z33" s="35">
        <f t="shared" si="1"/>
        <v>0</v>
      </c>
      <c r="AA33" s="35">
        <f t="shared" si="1"/>
        <v>27</v>
      </c>
      <c r="AB33" s="35">
        <f t="shared" si="1"/>
        <v>0</v>
      </c>
      <c r="AC33" s="35">
        <f t="shared" si="1"/>
        <v>0</v>
      </c>
      <c r="AD33" s="35">
        <f t="shared" si="1"/>
        <v>0</v>
      </c>
      <c r="AE33" s="35">
        <f t="shared" si="1"/>
        <v>0</v>
      </c>
      <c r="AF33" s="32"/>
      <c r="AG33" s="45" t="s">
        <v>33</v>
      </c>
      <c r="AH33" s="3"/>
    </row>
    <row r="34" spans="2:34" s="3" customFormat="1" ht="11.25" x14ac:dyDescent="0.25">
      <c r="AF34" s="32"/>
    </row>
    <row r="35" spans="2:34" s="36" customFormat="1" ht="11.25" x14ac:dyDescent="0.25">
      <c r="B35" s="33" t="s">
        <v>34</v>
      </c>
      <c r="C35" s="34"/>
      <c r="D35" s="34"/>
      <c r="E35" s="34"/>
      <c r="F35" s="34"/>
      <c r="G35" s="37">
        <f t="shared" ref="G35:AE35" si="2">SUM(G33*G13)</f>
        <v>0</v>
      </c>
      <c r="H35" s="37">
        <f t="shared" si="2"/>
        <v>0</v>
      </c>
      <c r="I35" s="37">
        <f t="shared" si="2"/>
        <v>0</v>
      </c>
      <c r="J35" s="37">
        <f t="shared" si="2"/>
        <v>0</v>
      </c>
      <c r="K35" s="37">
        <f t="shared" si="2"/>
        <v>0</v>
      </c>
      <c r="L35" s="37">
        <f t="shared" si="2"/>
        <v>0</v>
      </c>
      <c r="M35" s="37">
        <f t="shared" si="2"/>
        <v>0</v>
      </c>
      <c r="N35" s="37">
        <f t="shared" si="2"/>
        <v>0</v>
      </c>
      <c r="O35" s="37">
        <f t="shared" si="2"/>
        <v>0</v>
      </c>
      <c r="P35" s="37">
        <f t="shared" si="2"/>
        <v>0</v>
      </c>
      <c r="Q35" s="37">
        <f t="shared" si="2"/>
        <v>0</v>
      </c>
      <c r="R35" s="37">
        <f t="shared" si="2"/>
        <v>0</v>
      </c>
      <c r="S35" s="37">
        <f t="shared" si="2"/>
        <v>0</v>
      </c>
      <c r="T35" s="37">
        <f t="shared" si="2"/>
        <v>0</v>
      </c>
      <c r="U35" s="37">
        <f t="shared" si="2"/>
        <v>0</v>
      </c>
      <c r="V35" s="37">
        <f t="shared" si="2"/>
        <v>12670.18</v>
      </c>
      <c r="W35" s="37">
        <f t="shared" si="2"/>
        <v>9467.0399999999991</v>
      </c>
      <c r="X35" s="37">
        <f t="shared" si="2"/>
        <v>669.36</v>
      </c>
      <c r="Y35" s="37">
        <f t="shared" si="2"/>
        <v>0</v>
      </c>
      <c r="Z35" s="37">
        <f t="shared" si="2"/>
        <v>0</v>
      </c>
      <c r="AA35" s="37">
        <f t="shared" si="2"/>
        <v>4840.83</v>
      </c>
      <c r="AB35" s="37">
        <f t="shared" si="2"/>
        <v>0</v>
      </c>
      <c r="AC35" s="37">
        <f t="shared" si="2"/>
        <v>0</v>
      </c>
      <c r="AD35" s="37">
        <f t="shared" si="2"/>
        <v>0</v>
      </c>
      <c r="AE35" s="37">
        <f t="shared" si="2"/>
        <v>0</v>
      </c>
      <c r="AF35" s="32"/>
    </row>
    <row r="36" spans="2:34" s="3" customFormat="1" ht="11.25" x14ac:dyDescent="0.25"/>
    <row r="37" spans="2:34" s="3" customFormat="1" ht="11.25" x14ac:dyDescent="0.2">
      <c r="AB37" s="65" t="s">
        <v>35</v>
      </c>
      <c r="AC37" s="65"/>
      <c r="AD37" s="65"/>
      <c r="AE37" s="65"/>
      <c r="AF37" s="44">
        <f>SUM(G35:AE35)</f>
        <v>27647.410000000003</v>
      </c>
    </row>
    <row r="38" spans="2:34" s="38" customFormat="1" ht="11.25" x14ac:dyDescent="0.25">
      <c r="B38" s="18" t="s">
        <v>36</v>
      </c>
      <c r="Q38" s="39"/>
      <c r="R38" s="40"/>
      <c r="S38" s="39"/>
      <c r="T38" s="39"/>
      <c r="U38" s="40"/>
      <c r="V38" s="39"/>
      <c r="W38" s="39"/>
      <c r="X38" s="40"/>
      <c r="Y38" s="39"/>
      <c r="Z38" s="39"/>
      <c r="AA38" s="40"/>
      <c r="AB38" s="39"/>
      <c r="AC38" s="39"/>
      <c r="AD38" s="40"/>
      <c r="AE38" s="40"/>
    </row>
    <row r="39" spans="2:34" s="38" customFormat="1" ht="11.25" x14ac:dyDescent="0.25">
      <c r="B39" s="2" t="s">
        <v>37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39"/>
      <c r="R39" s="40"/>
      <c r="S39" s="39"/>
      <c r="T39" s="39"/>
      <c r="U39" s="40"/>
      <c r="V39" s="39"/>
      <c r="W39" s="39"/>
      <c r="X39" s="40"/>
      <c r="Y39" s="39"/>
      <c r="Z39" s="39"/>
      <c r="AA39" s="40"/>
      <c r="AB39" s="39"/>
      <c r="AC39" s="39"/>
      <c r="AD39" s="40"/>
      <c r="AE39" s="40"/>
    </row>
    <row r="40" spans="2:34" s="38" customFormat="1" ht="11.25" x14ac:dyDescent="0.25">
      <c r="B40" s="2" t="s">
        <v>38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39"/>
      <c r="R40" s="40"/>
      <c r="S40" s="39"/>
      <c r="T40" s="39"/>
      <c r="U40" s="40"/>
      <c r="V40" s="39"/>
      <c r="W40" s="39"/>
      <c r="X40" s="40"/>
      <c r="Y40" s="39"/>
      <c r="Z40" s="39"/>
      <c r="AA40" s="40"/>
      <c r="AB40" s="39"/>
      <c r="AC40" s="39"/>
      <c r="AD40" s="40"/>
      <c r="AE40" s="40"/>
    </row>
    <row r="41" spans="2:34" s="38" customFormat="1" ht="11.25" x14ac:dyDescent="0.25">
      <c r="B41" s="2" t="s">
        <v>39</v>
      </c>
      <c r="C41" s="3"/>
      <c r="D41" s="3"/>
      <c r="E41" s="3"/>
      <c r="F41" s="3"/>
      <c r="G41" s="3"/>
      <c r="H41" s="3"/>
      <c r="I41" s="42"/>
      <c r="J41" s="3"/>
      <c r="K41" s="3"/>
      <c r="L41" s="42"/>
      <c r="M41" s="3"/>
      <c r="N41" s="3"/>
      <c r="O41" s="42"/>
      <c r="P41" s="3"/>
      <c r="Q41" s="39"/>
      <c r="R41" s="40"/>
      <c r="S41" s="39"/>
      <c r="T41" s="39"/>
      <c r="U41" s="40"/>
      <c r="V41" s="39"/>
      <c r="W41" s="39"/>
      <c r="X41" s="40"/>
      <c r="Y41" s="39"/>
      <c r="Z41" s="39"/>
      <c r="AA41" s="40"/>
      <c r="AB41" s="39"/>
      <c r="AC41" s="39"/>
      <c r="AD41" s="40"/>
      <c r="AE41" s="40"/>
    </row>
    <row r="42" spans="2:34" s="38" customFormat="1" x14ac:dyDescent="0.25">
      <c r="B42" s="4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39"/>
      <c r="R42" s="40"/>
      <c r="S42" s="39"/>
      <c r="T42" s="39"/>
      <c r="U42" s="40"/>
      <c r="V42" s="39"/>
      <c r="W42" s="39"/>
      <c r="X42" s="40"/>
      <c r="Y42" s="39"/>
      <c r="Z42" s="39"/>
      <c r="AA42" s="40"/>
      <c r="AB42" s="39"/>
      <c r="AC42" s="39"/>
      <c r="AD42" s="40"/>
      <c r="AE42" s="40"/>
    </row>
    <row r="47" spans="2:34" x14ac:dyDescent="0.25">
      <c r="I47" s="29"/>
    </row>
  </sheetData>
  <mergeCells count="46">
    <mergeCell ref="C24:D24"/>
    <mergeCell ref="C23:D23"/>
    <mergeCell ref="C30:D30"/>
    <mergeCell ref="E30:F30"/>
    <mergeCell ref="C31:D31"/>
    <mergeCell ref="E31:F31"/>
    <mergeCell ref="C25:D25"/>
    <mergeCell ref="E25:F25"/>
    <mergeCell ref="C27:D27"/>
    <mergeCell ref="E27:F27"/>
    <mergeCell ref="C28:D28"/>
    <mergeCell ref="E28:F28"/>
    <mergeCell ref="C26:D26"/>
    <mergeCell ref="G15:I15"/>
    <mergeCell ref="J15:L15"/>
    <mergeCell ref="M15:O15"/>
    <mergeCell ref="C16:D16"/>
    <mergeCell ref="E16:F16"/>
    <mergeCell ref="E17:F17"/>
    <mergeCell ref="P11:R11"/>
    <mergeCell ref="G10:I10"/>
    <mergeCell ref="G11:I11"/>
    <mergeCell ref="J10:L10"/>
    <mergeCell ref="J11:L11"/>
    <mergeCell ref="M10:O10"/>
    <mergeCell ref="M11:O11"/>
    <mergeCell ref="E21:F21"/>
    <mergeCell ref="E18:F18"/>
    <mergeCell ref="E19:F19"/>
    <mergeCell ref="E20:F20"/>
    <mergeCell ref="AB37:AE37"/>
    <mergeCell ref="S10:U10"/>
    <mergeCell ref="V10:X10"/>
    <mergeCell ref="Y10:AA10"/>
    <mergeCell ref="AB10:AD10"/>
    <mergeCell ref="S11:U11"/>
    <mergeCell ref="V11:X11"/>
    <mergeCell ref="Y11:AA11"/>
    <mergeCell ref="AB11:AD11"/>
    <mergeCell ref="V15:X15"/>
    <mergeCell ref="Y15:AA15"/>
    <mergeCell ref="AB15:AD15"/>
    <mergeCell ref="S15:U15"/>
    <mergeCell ref="I31:AA31"/>
    <mergeCell ref="P15:R15"/>
    <mergeCell ref="P10:R10"/>
  </mergeCells>
  <conditionalFormatting sqref="D4:E8 G17:AE28 G29:Z29 AB29:AE29 I47">
    <cfRule type="containsText" dxfId="18" priority="17" operator="containsText" text="INVULLEN">
      <formula>NOT(ISERROR(SEARCH("INVULLEN",D4)))</formula>
    </cfRule>
  </conditionalFormatting>
  <conditionalFormatting sqref="G16:H16 G31:I31 G32:AE32">
    <cfRule type="containsText" dxfId="17" priority="66" operator="containsText" text="INVULLEN">
      <formula>NOT(ISERROR(SEARCH("INVULLEN",G16)))</formula>
    </cfRule>
  </conditionalFormatting>
  <conditionalFormatting sqref="G30:H30">
    <cfRule type="containsText" dxfId="16" priority="62" operator="containsText" text="INVULLEN">
      <formula>NOT(ISERROR(SEARCH("INVULLEN",G30)))</formula>
    </cfRule>
  </conditionalFormatting>
  <conditionalFormatting sqref="G12:AE14">
    <cfRule type="containsText" dxfId="15" priority="1" operator="containsText" text="INVULLEN">
      <formula>NOT(ISERROR(SEARCH("INVULLEN",G12)))</formula>
    </cfRule>
  </conditionalFormatting>
  <conditionalFormatting sqref="J16:K16">
    <cfRule type="containsText" dxfId="14" priority="51" operator="containsText" text="INVULLEN">
      <formula>NOT(ISERROR(SEARCH("INVULLEN",J16)))</formula>
    </cfRule>
  </conditionalFormatting>
  <conditionalFormatting sqref="J30:K30">
    <cfRule type="containsText" dxfId="13" priority="50" operator="containsText" text="INVULLEN">
      <formula>NOT(ISERROR(SEARCH("INVULLEN",J30)))</formula>
    </cfRule>
  </conditionalFormatting>
  <conditionalFormatting sqref="M16:N16">
    <cfRule type="containsText" dxfId="12" priority="47" operator="containsText" text="INVULLEN">
      <formula>NOT(ISERROR(SEARCH("INVULLEN",M16)))</formula>
    </cfRule>
  </conditionalFormatting>
  <conditionalFormatting sqref="M30:N30">
    <cfRule type="containsText" dxfId="11" priority="46" operator="containsText" text="INVULLEN">
      <formula>NOT(ISERROR(SEARCH("INVULLEN",M30)))</formula>
    </cfRule>
  </conditionalFormatting>
  <conditionalFormatting sqref="P16:Q16">
    <cfRule type="containsText" dxfId="10" priority="43" operator="containsText" text="INVULLEN">
      <formula>NOT(ISERROR(SEARCH("INVULLEN",P16)))</formula>
    </cfRule>
  </conditionalFormatting>
  <conditionalFormatting sqref="P30:Q30">
    <cfRule type="containsText" dxfId="9" priority="42" operator="containsText" text="INVULLEN">
      <formula>NOT(ISERROR(SEARCH("INVULLEN",P30)))</formula>
    </cfRule>
  </conditionalFormatting>
  <conditionalFormatting sqref="S16:T16">
    <cfRule type="containsText" dxfId="8" priority="39" operator="containsText" text="INVULLEN">
      <formula>NOT(ISERROR(SEARCH("INVULLEN",S16)))</formula>
    </cfRule>
  </conditionalFormatting>
  <conditionalFormatting sqref="S30:T30">
    <cfRule type="containsText" dxfId="7" priority="38" operator="containsText" text="INVULLEN">
      <formula>NOT(ISERROR(SEARCH("INVULLEN",S30)))</formula>
    </cfRule>
  </conditionalFormatting>
  <conditionalFormatting sqref="V16:W16">
    <cfRule type="containsText" dxfId="6" priority="35" operator="containsText" text="INVULLEN">
      <formula>NOT(ISERROR(SEARCH("INVULLEN",V16)))</formula>
    </cfRule>
  </conditionalFormatting>
  <conditionalFormatting sqref="V30:W30">
    <cfRule type="containsText" dxfId="5" priority="34" operator="containsText" text="INVULLEN">
      <formula>NOT(ISERROR(SEARCH("INVULLEN",V30)))</formula>
    </cfRule>
  </conditionalFormatting>
  <conditionalFormatting sqref="Y16:Z16">
    <cfRule type="containsText" dxfId="4" priority="31" operator="containsText" text="INVULLEN">
      <formula>NOT(ISERROR(SEARCH("INVULLEN",Y16)))</formula>
    </cfRule>
  </conditionalFormatting>
  <conditionalFormatting sqref="Y30:Z30">
    <cfRule type="containsText" dxfId="3" priority="30" operator="containsText" text="INVULLEN">
      <formula>NOT(ISERROR(SEARCH("INVULLEN",Y30)))</formula>
    </cfRule>
  </conditionalFormatting>
  <conditionalFormatting sqref="AB16:AC16 AB31:AE31">
    <cfRule type="containsText" dxfId="2" priority="27" operator="containsText" text="INVULLEN">
      <formula>NOT(ISERROR(SEARCH("INVULLEN",AB16)))</formula>
    </cfRule>
  </conditionalFormatting>
  <conditionalFormatting sqref="AB30:AC30">
    <cfRule type="containsText" dxfId="1" priority="26" operator="containsText" text="INVULLEN">
      <formula>NOT(ISERROR(SEARCH("INVULLEN",AB30)))</formula>
    </cfRule>
  </conditionalFormatting>
  <conditionalFormatting sqref="AF16:AG16">
    <cfRule type="containsText" dxfId="0" priority="56" operator="containsText" text="INVULLEN">
      <formula>NOT(ISERROR(SEARCH("INVULLEN",AF16)))</formula>
    </cfRule>
  </conditionalFormatting>
  <pageMargins left="0.39583333333333331" right="0.26041666666666669" top="0.42892156862745096" bottom="0.53125" header="0.3" footer="0.3"/>
  <pageSetup paperSize="8" scale="41" orientation="landscape" r:id="rId1"/>
  <headerFooter>
    <oddFooter>&amp;L&amp;D &amp;T&amp;C&amp;F_x000D_&amp;1#&amp;"Calibri"&amp;10&amp;K000000 C2 - Internal Information&amp;R&amp;"Arial,Standaard"&amp;8Pagina &amp;P van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C92C-3B94-4D70-9F8F-815E04E67899}">
  <dimension ref="A1:A24"/>
  <sheetViews>
    <sheetView workbookViewId="0">
      <selection activeCell="A25" sqref="A25"/>
    </sheetView>
  </sheetViews>
  <sheetFormatPr defaultRowHeight="15" x14ac:dyDescent="0.25"/>
  <cols>
    <col min="1" max="1" width="40.140625" style="48" bestFit="1" customWidth="1"/>
  </cols>
  <sheetData>
    <row r="1" spans="1:1" x14ac:dyDescent="0.25">
      <c r="A1" s="48" t="s">
        <v>20</v>
      </c>
    </row>
    <row r="2" spans="1:1" x14ac:dyDescent="0.25">
      <c r="A2" s="48" t="s">
        <v>40</v>
      </c>
    </row>
    <row r="3" spans="1:1" x14ac:dyDescent="0.25">
      <c r="A3" s="48" t="s">
        <v>41</v>
      </c>
    </row>
    <row r="4" spans="1:1" x14ac:dyDescent="0.25">
      <c r="A4" s="48" t="s">
        <v>42</v>
      </c>
    </row>
    <row r="5" spans="1:1" x14ac:dyDescent="0.25">
      <c r="A5" s="48" t="s">
        <v>43</v>
      </c>
    </row>
    <row r="6" spans="1:1" x14ac:dyDescent="0.25">
      <c r="A6" s="48" t="s">
        <v>44</v>
      </c>
    </row>
    <row r="7" spans="1:1" x14ac:dyDescent="0.25">
      <c r="A7" s="48" t="s">
        <v>45</v>
      </c>
    </row>
    <row r="8" spans="1:1" x14ac:dyDescent="0.25">
      <c r="A8" s="48" t="s">
        <v>46</v>
      </c>
    </row>
    <row r="9" spans="1:1" x14ac:dyDescent="0.25">
      <c r="A9" s="48" t="s">
        <v>47</v>
      </c>
    </row>
    <row r="10" spans="1:1" x14ac:dyDescent="0.25">
      <c r="A10" s="48" t="s">
        <v>48</v>
      </c>
    </row>
    <row r="11" spans="1:1" x14ac:dyDescent="0.25">
      <c r="A11" s="48" t="s">
        <v>49</v>
      </c>
    </row>
    <row r="12" spans="1:1" x14ac:dyDescent="0.25">
      <c r="A12" s="48" t="s">
        <v>50</v>
      </c>
    </row>
    <row r="13" spans="1:1" x14ac:dyDescent="0.25">
      <c r="A13" s="48" t="s">
        <v>51</v>
      </c>
    </row>
    <row r="14" spans="1:1" x14ac:dyDescent="0.25">
      <c r="A14" s="48" t="s">
        <v>52</v>
      </c>
    </row>
    <row r="15" spans="1:1" x14ac:dyDescent="0.25">
      <c r="A15" s="48" t="s">
        <v>53</v>
      </c>
    </row>
    <row r="16" spans="1:1" s="50" customFormat="1" ht="16.5" customHeight="1" x14ac:dyDescent="0.25">
      <c r="A16" s="49"/>
    </row>
    <row r="17" spans="1:1" s="50" customFormat="1" ht="16.5" customHeight="1" x14ac:dyDescent="0.25">
      <c r="A17" s="49"/>
    </row>
    <row r="18" spans="1:1" s="50" customFormat="1" ht="16.5" customHeight="1" x14ac:dyDescent="0.25">
      <c r="A18" s="49"/>
    </row>
    <row r="19" spans="1:1" x14ac:dyDescent="0.25">
      <c r="A19" s="48" t="s">
        <v>54</v>
      </c>
    </row>
    <row r="20" spans="1:1" x14ac:dyDescent="0.25">
      <c r="A20" s="48" t="s">
        <v>55</v>
      </c>
    </row>
    <row r="21" spans="1:1" x14ac:dyDescent="0.25">
      <c r="A21" s="48" t="s">
        <v>56</v>
      </c>
    </row>
    <row r="22" spans="1:1" x14ac:dyDescent="0.25">
      <c r="A22" s="48" t="s">
        <v>57</v>
      </c>
    </row>
    <row r="23" spans="1:1" x14ac:dyDescent="0.25">
      <c r="A23" s="48" t="s">
        <v>58</v>
      </c>
    </row>
    <row r="24" spans="1:1" x14ac:dyDescent="0.25">
      <c r="A24" s="48" t="s">
        <v>59</v>
      </c>
    </row>
  </sheetData>
  <pageMargins left="0.7" right="0.7" top="0.75" bottom="0.75" header="0.3" footer="0.3"/>
  <pageSetup paperSize="9" orientation="portrait" verticalDpi="0" r:id="rId1"/>
  <headerFooter>
    <oddFooter>&amp;C_x000D_&amp;1#&amp;"Calibri"&amp;10&amp;K000000 C2 - Internal Information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1DB345A86ECE47A62595138DD7727D" ma:contentTypeVersion="17" ma:contentTypeDescription="Create a new document." ma:contentTypeScope="" ma:versionID="f6aa120f2bd353b045b2e66a584e1ae4">
  <xsd:schema xmlns:xsd="http://www.w3.org/2001/XMLSchema" xmlns:xs="http://www.w3.org/2001/XMLSchema" xmlns:p="http://schemas.microsoft.com/office/2006/metadata/properties" xmlns:ns2="63540022-541d-40ff-acf6-6c0b7ed66276" xmlns:ns3="73831528-3889-4f86-8078-cac1cc43d0a0" targetNamespace="http://schemas.microsoft.com/office/2006/metadata/properties" ma:root="true" ma:fieldsID="819b54172102b2295ba5846fdd011e70" ns2:_="" ns3:_="">
    <xsd:import namespace="63540022-541d-40ff-acf6-6c0b7ed66276"/>
    <xsd:import namespace="73831528-3889-4f86-8078-cac1cc43d0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540022-541d-40ff-acf6-6c0b7ed662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b0b031d9-ae19-48d6-a524-e417b27e88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831528-3889-4f86-8078-cac1cc43d0a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c78d25d-b094-4f60-90fb-fe361165c26c}" ma:internalName="TaxCatchAll" ma:showField="CatchAllData" ma:web="73831528-3889-4f86-8078-cac1cc43d0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831528-3889-4f86-8078-cac1cc43d0a0" xsi:nil="true"/>
    <lcf76f155ced4ddcb4097134ff3c332f xmlns="63540022-541d-40ff-acf6-6c0b7ed6627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A4C4EB-A5F2-493F-8849-D318F9E03F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540022-541d-40ff-acf6-6c0b7ed66276"/>
    <ds:schemaRef ds:uri="73831528-3889-4f86-8078-cac1cc43d0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13B055-0B60-4A30-A442-308CC7F43606}">
  <ds:schemaRefs>
    <ds:schemaRef ds:uri="http://schemas.microsoft.com/office/2006/metadata/properties"/>
    <ds:schemaRef ds:uri="http://schemas.microsoft.com/office/infopath/2007/PartnerControls"/>
    <ds:schemaRef ds:uri="73831528-3889-4f86-8078-cac1cc43d0a0"/>
    <ds:schemaRef ds:uri="63540022-541d-40ff-acf6-6c0b7ed66276"/>
  </ds:schemaRefs>
</ds:datastoreItem>
</file>

<file path=customXml/itemProps3.xml><?xml version="1.0" encoding="utf-8"?>
<ds:datastoreItem xmlns:ds="http://schemas.openxmlformats.org/officeDocument/2006/customXml" ds:itemID="{BD9077F3-16C2-457B-B3F7-0E959B5D31A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8141450-2387-4aca-b41f-19cd6be9dd3c}" enabled="1" method="Standard" siteId="{adf10e2b-b6e9-41d6-be2f-c12bb566019c}" contentBits="0" removed="0"/>
  <clbl:label id="{6e118e09-08be-4360-a815-3fc29828016d}" enabled="1" method="Standard" siteId="{15b734ef-4a07-47e7-90f4-22cc84a7af2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EU-300 P1+P2 Prijsblad</vt:lpstr>
      <vt:lpstr>Blad1</vt:lpstr>
      <vt:lpstr>'EU-300 P1+P2 Prijsblad'!Print_Area</vt:lpstr>
    </vt:vector>
  </TitlesOfParts>
  <Manager/>
  <Company>TenneT TSO B.V.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EU-300 Prijsspecificatie - Perceel 1 + 2 - 01-01-2025 tm 31-12-2025 v1.0</dc:title>
  <dc:subject/>
  <dc:creator>Biesmans, Myrthe</dc:creator>
  <cp:keywords/>
  <dc:description/>
  <cp:lastModifiedBy>Schutte, Peet</cp:lastModifiedBy>
  <cp:revision/>
  <dcterms:created xsi:type="dcterms:W3CDTF">2012-05-14T12:08:05Z</dcterms:created>
  <dcterms:modified xsi:type="dcterms:W3CDTF">2025-12-16T12:13:42Z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0x010100AC1DB345A86ECE47A62595138DD7727D</vt:lpwstr>
  </property>
  <property fmtid="{D5CDD505-2E9C-101B-9397-08002B2CF9AE}" pid="3" name="TenneT_Confidentiality">
    <vt:lpwstr>2;#C2 - Interne Informatie|eca858e3-5a7b-44af-8aa1-85cb0c880109</vt:lpwstr>
  </property>
  <property fmtid="{D5CDD505-2E9C-101B-9397-08002B2CF9AE}" pid="4" name="_dlc_DocIdItemGuid">
    <vt:lpwstr>d40a215a-7af5-4fe1-8df1-fb0de33e2ddb</vt:lpwstr>
  </property>
  <property fmtid="{D5CDD505-2E9C-101B-9397-08002B2CF9AE}" pid="5" name="TaxKeyword">
    <vt:lpwstr/>
  </property>
  <property fmtid="{D5CDD505-2E9C-101B-9397-08002B2CF9AE}" pid="6" name="TenneT_KnowledgeTypeTaxHTField0">
    <vt:lpwstr/>
  </property>
  <property fmtid="{D5CDD505-2E9C-101B-9397-08002B2CF9AE}" pid="7" name="TenneT_KnowledgeType">
    <vt:lpwstr/>
  </property>
  <property fmtid="{D5CDD505-2E9C-101B-9397-08002B2CF9AE}" pid="8" name="TenneT_KnowledgeAreaTaxHTField0">
    <vt:lpwstr/>
  </property>
  <property fmtid="{D5CDD505-2E9C-101B-9397-08002B2CF9AE}" pid="9" name="TenneT_DocumentStatus">
    <vt:lpwstr>1;#Definitief|a18dbe06-1ea0-425f-983b-422fdd06b0b9</vt:lpwstr>
  </property>
  <property fmtid="{D5CDD505-2E9C-101B-9397-08002B2CF9AE}" pid="10" name="TenneT_DocumentType">
    <vt:lpwstr>13;#Pricing|2d9dd37f-aa09-4ee9-8534-97b3b5b51d18</vt:lpwstr>
  </property>
  <property fmtid="{D5CDD505-2E9C-101B-9397-08002B2CF9AE}" pid="11" name="TenneT_KnowledgeArea">
    <vt:lpwstr/>
  </property>
  <property fmtid="{D5CDD505-2E9C-101B-9397-08002B2CF9AE}" pid="12" name="MediaServiceImageTags">
    <vt:lpwstr/>
  </property>
  <property fmtid="{D5CDD505-2E9C-101B-9397-08002B2CF9AE}" pid="13" name="PH_DocumentType">
    <vt:lpwstr/>
  </property>
  <property fmtid="{D5CDD505-2E9C-101B-9397-08002B2CF9AE}" pid="14" name="MSIP_Label_6e118e09-08be-4360-a815-3fc29828016d_Enabled">
    <vt:lpwstr>true</vt:lpwstr>
  </property>
  <property fmtid="{D5CDD505-2E9C-101B-9397-08002B2CF9AE}" pid="15" name="MSIP_Label_6e118e09-08be-4360-a815-3fc29828016d_SetDate">
    <vt:lpwstr>2023-11-03T11:40:59Z</vt:lpwstr>
  </property>
  <property fmtid="{D5CDD505-2E9C-101B-9397-08002B2CF9AE}" pid="16" name="MSIP_Label_6e118e09-08be-4360-a815-3fc29828016d_Method">
    <vt:lpwstr>Standard</vt:lpwstr>
  </property>
  <property fmtid="{D5CDD505-2E9C-101B-9397-08002B2CF9AE}" pid="17" name="MSIP_Label_6e118e09-08be-4360-a815-3fc29828016d_Name">
    <vt:lpwstr>Internal</vt:lpwstr>
  </property>
  <property fmtid="{D5CDD505-2E9C-101B-9397-08002B2CF9AE}" pid="18" name="MSIP_Label_6e118e09-08be-4360-a815-3fc29828016d_SiteId">
    <vt:lpwstr>15b734ef-4a07-47e7-90f4-22cc84a7af23</vt:lpwstr>
  </property>
  <property fmtid="{D5CDD505-2E9C-101B-9397-08002B2CF9AE}" pid="19" name="MSIP_Label_6e118e09-08be-4360-a815-3fc29828016d_ActionId">
    <vt:lpwstr>8b58443f-d0c0-455f-b9d6-bab533fe9ec8</vt:lpwstr>
  </property>
  <property fmtid="{D5CDD505-2E9C-101B-9397-08002B2CF9AE}" pid="20" name="MSIP_Label_6e118e09-08be-4360-a815-3fc29828016d_ContentBits">
    <vt:lpwstr>2</vt:lpwstr>
  </property>
  <property fmtid="{D5CDD505-2E9C-101B-9397-08002B2CF9AE}" pid="21" name="Order">
    <vt:r8>11400</vt:r8>
  </property>
  <property fmtid="{D5CDD505-2E9C-101B-9397-08002B2CF9AE}" pid="22" name="Document_x0020_status">
    <vt:lpwstr/>
  </property>
  <property fmtid="{D5CDD505-2E9C-101B-9397-08002B2CF9AE}" pid="23" name="Confidentiality">
    <vt:lpwstr/>
  </property>
  <property fmtid="{D5CDD505-2E9C-101B-9397-08002B2CF9AE}" pid="24" name="Document status">
    <vt:lpwstr/>
  </property>
  <property fmtid="{D5CDD505-2E9C-101B-9397-08002B2CF9AE}" pid="25" name="MSIP_Label_48141450-2387-4aca-b41f-19cd6be9dd3c_Enabled">
    <vt:lpwstr>true</vt:lpwstr>
  </property>
  <property fmtid="{D5CDD505-2E9C-101B-9397-08002B2CF9AE}" pid="26" name="MSIP_Label_48141450-2387-4aca-b41f-19cd6be9dd3c_SetDate">
    <vt:lpwstr>2025-04-16T08:56:54Z</vt:lpwstr>
  </property>
  <property fmtid="{D5CDD505-2E9C-101B-9397-08002B2CF9AE}" pid="27" name="MSIP_Label_48141450-2387-4aca-b41f-19cd6be9dd3c_Method">
    <vt:lpwstr>Standard</vt:lpwstr>
  </property>
  <property fmtid="{D5CDD505-2E9C-101B-9397-08002B2CF9AE}" pid="28" name="MSIP_Label_48141450-2387-4aca-b41f-19cd6be9dd3c_Name">
    <vt:lpwstr>Restricted_Unprotected</vt:lpwstr>
  </property>
  <property fmtid="{D5CDD505-2E9C-101B-9397-08002B2CF9AE}" pid="29" name="MSIP_Label_48141450-2387-4aca-b41f-19cd6be9dd3c_SiteId">
    <vt:lpwstr>adf10e2b-b6e9-41d6-be2f-c12bb566019c</vt:lpwstr>
  </property>
  <property fmtid="{D5CDD505-2E9C-101B-9397-08002B2CF9AE}" pid="30" name="MSIP_Label_48141450-2387-4aca-b41f-19cd6be9dd3c_ActionId">
    <vt:lpwstr>0e176a77-069c-4b50-896e-b10531ed909f</vt:lpwstr>
  </property>
  <property fmtid="{D5CDD505-2E9C-101B-9397-08002B2CF9AE}" pid="31" name="MSIP_Label_48141450-2387-4aca-b41f-19cd6be9dd3c_ContentBits">
    <vt:lpwstr>0</vt:lpwstr>
  </property>
  <property fmtid="{D5CDD505-2E9C-101B-9397-08002B2CF9AE}" pid="32" name="MSIP_Label_48141450-2387-4aca-b41f-19cd6be9dd3c_Tag">
    <vt:lpwstr>10, 3, 0, 2</vt:lpwstr>
  </property>
</Properties>
</file>