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"/>
    <numFmt numFmtId="165" formatCode="€ #,##0.00"/>
    <numFmt numFmtId="166" formatCode="#,##0.0"/>
  </numFmts>
  <fonts count="10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  <font>
      <b val="1"/>
      <sz val="10"/>
    </font>
    <font>
      <i val="1"/>
      <sz val="9"/>
    </font>
    <font>
      <b val="1"/>
      <sz val="11"/>
    </font>
    <font>
      <b val="1"/>
    </font>
    <font>
      <b val="1"/>
      <color rgb="001F4E78"/>
      <sz val="12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164" fontId="4" fillId="3" borderId="1" applyAlignment="1" pivotButton="0" quotePrefix="0" xfId="0">
      <alignment horizontal="center"/>
    </xf>
    <xf numFmtId="0" fontId="5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4" fillId="5" borderId="1" pivotButton="0" quotePrefix="0" xfId="0"/>
    <xf numFmtId="3" fontId="4" fillId="5" borderId="1" pivotButton="0" quotePrefix="0" xfId="0"/>
    <xf numFmtId="165" fontId="4" fillId="5" borderId="1" pivotButton="0" quotePrefix="0" xfId="0"/>
    <xf numFmtId="0" fontId="6" fillId="6" borderId="1" pivotButton="0" quotePrefix="0" xfId="0"/>
    <xf numFmtId="3" fontId="6" fillId="6" borderId="1" pivotButton="0" quotePrefix="0" xfId="0"/>
    <xf numFmtId="165" fontId="6" fillId="6" borderId="1" pivotButton="0" quotePrefix="0" xfId="0"/>
    <xf numFmtId="0" fontId="7" fillId="0" borderId="0" pivotButton="0" quotePrefix="0" xfId="0"/>
    <xf numFmtId="166" fontId="7" fillId="0" borderId="0" pivotButton="0" quotePrefix="0" xfId="0"/>
    <xf numFmtId="0" fontId="8" fillId="5" borderId="0" pivotButton="0" quotePrefix="0" xfId="0"/>
    <xf numFmtId="0" fontId="9" fillId="2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5" fillId="0" borderId="1" pivotButton="0" quotePrefix="0" xfId="0"/>
    <xf numFmtId="166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45" customWidth="1" min="4" max="4"/>
    <col width="18" customWidth="1" min="5" max="5"/>
  </cols>
  <sheetData>
    <row r="1">
      <c r="A1" s="1" t="inlineStr">
        <is>
          <t>Peak Gen NESO LT29 Stability Studies (Tiered Quotation)</t>
        </is>
      </c>
    </row>
    <row r="2">
      <c r="A2" s="2" t="inlineStr">
        <is>
          <t>Budget Range: € 40,000.00 - € 110,000.00</t>
        </is>
      </c>
    </row>
    <row r="3">
      <c r="A3" s="2" t="inlineStr">
        <is>
          <t>Rates: Professional €145/h | Senior €189/h | Principal €231/h</t>
        </is>
      </c>
    </row>
    <row r="5">
      <c r="A5" s="3" t="inlineStr">
        <is>
          <t>Work Package / Task</t>
        </is>
      </c>
      <c r="B5" s="3" t="inlineStr">
        <is>
          <t>Professional Hours</t>
        </is>
      </c>
      <c r="C5" s="3" t="inlineStr">
        <is>
          <t>Senior Hours</t>
        </is>
      </c>
      <c r="D5" s="3" t="inlineStr">
        <is>
          <t>Principal Hours</t>
        </is>
      </c>
      <c r="E5" s="3" t="inlineStr">
        <is>
          <t>Contract Price</t>
        </is>
      </c>
    </row>
    <row r="6">
      <c r="A6" s="4" t="inlineStr">
        <is>
          <t>Hourly Rates →</t>
        </is>
      </c>
      <c r="B6" s="5" t="n">
        <v>145</v>
      </c>
      <c r="C6" s="5" t="n">
        <v>189</v>
      </c>
      <c r="D6" s="5" t="n">
        <v>231</v>
      </c>
      <c r="E6" s="6" t="inlineStr">
        <is>
          <t>(Formulas calculate automatically)</t>
        </is>
      </c>
    </row>
    <row r="7">
      <c r="A7" s="7" t="inlineStr">
        <is>
          <t>Line Item 1: Study Setup (One-Time)</t>
        </is>
      </c>
    </row>
    <row r="8">
      <c r="A8" s="8" t="inlineStr">
        <is>
          <t xml:space="preserve">  Kick-off meeting and coordination</t>
        </is>
      </c>
      <c r="B8" s="9" t="n">
        <v>4</v>
      </c>
      <c r="C8" s="9" t="n">
        <v>2</v>
      </c>
      <c r="D8" s="9" t="n">
        <v>1</v>
      </c>
      <c r="E8" s="10">
        <f>B8*$B6+C8*$C6+D8*$D6</f>
        <v/>
      </c>
    </row>
    <row r="9">
      <c r="A9" s="8" t="inlineStr">
        <is>
          <t xml:space="preserve">  Review NGET Connection Feasibility Reports</t>
        </is>
      </c>
      <c r="B9" s="9" t="n">
        <v>8</v>
      </c>
      <c r="C9" s="9" t="n">
        <v>4</v>
      </c>
      <c r="D9" s="9" t="n">
        <v>0</v>
      </c>
      <c r="E9" s="10">
        <f>B9*$B6+C9*$C6+D9*$D6</f>
        <v/>
      </c>
    </row>
    <row r="10">
      <c r="A10" s="8" t="inlineStr">
        <is>
          <t xml:space="preserve">  Validate NESO grid data (Effectiveness Sheet V7)</t>
        </is>
      </c>
      <c r="B10" s="9" t="n">
        <v>4</v>
      </c>
      <c r="C10" s="9" t="n">
        <v>2</v>
      </c>
      <c r="D10" s="9" t="n">
        <v>1</v>
      </c>
      <c r="E10" s="10">
        <f>B10*$B6+C10*$C6+D10*$D6</f>
        <v/>
      </c>
    </row>
    <row r="11">
      <c r="A11" s="8" t="inlineStr">
        <is>
          <t xml:space="preserve">  Assess GE RS4 PowerFactory models</t>
        </is>
      </c>
      <c r="B11" s="9" t="n">
        <v>8</v>
      </c>
      <c r="C11" s="9" t="n">
        <v>4</v>
      </c>
      <c r="D11" s="9" t="n">
        <v>2</v>
      </c>
      <c r="E11" s="10">
        <f>B11*$B6+C11*$C6+D11*$D6</f>
        <v/>
      </c>
    </row>
    <row r="12">
      <c r="A12" s="8" t="inlineStr">
        <is>
          <t xml:space="preserve">  Develop Python automation script (PowerFactory API)</t>
        </is>
      </c>
      <c r="B12" s="9" t="n">
        <v>16</v>
      </c>
      <c r="C12" s="9" t="n">
        <v>8</v>
      </c>
      <c r="D12" s="9" t="n">
        <v>2</v>
      </c>
      <c r="E12" s="10">
        <f>B12*$B6+C12*$C6+D12*$D6</f>
        <v/>
      </c>
    </row>
    <row r="13">
      <c r="A13" s="8" t="inlineStr">
        <is>
          <t xml:space="preserve">  Develop reporting framework (data extraction, plots, proforma population)</t>
        </is>
      </c>
      <c r="B13" s="9" t="n">
        <v>12</v>
      </c>
      <c r="C13" s="9" t="n">
        <v>6</v>
      </c>
      <c r="D13" s="9" t="n">
        <v>1</v>
      </c>
      <c r="E13" s="10">
        <f>B13*$B6+C13*$C6+D13*$D6</f>
        <v/>
      </c>
    </row>
    <row r="14">
      <c r="A14" s="8" t="inlineStr">
        <is>
          <t xml:space="preserve">  Integrate GE RS4 models and AVR systems (one-time setup)</t>
        </is>
      </c>
      <c r="B14" s="9" t="n">
        <v>12</v>
      </c>
      <c r="C14" s="9" t="n">
        <v>6</v>
      </c>
      <c r="D14" s="9" t="n">
        <v>2</v>
      </c>
      <c r="E14" s="10">
        <f>B14*$B6+C14*$C6+D14*$D6</f>
        <v/>
      </c>
    </row>
    <row r="15">
      <c r="A15" s="8" t="inlineStr">
        <is>
          <t xml:space="preserve">  Contingency (5%)</t>
        </is>
      </c>
      <c r="B15" s="9" t="n">
        <v>4</v>
      </c>
      <c r="C15" s="9" t="n">
        <v>2</v>
      </c>
      <c r="D15" s="9" t="n">
        <v>1</v>
      </c>
      <c r="E15" s="10">
        <f>B15*$B6+C15*$C6+D15*$D6</f>
        <v/>
      </c>
    </row>
    <row r="16">
      <c r="A16" s="11" t="inlineStr">
        <is>
          <t xml:space="preserve">  Subtotal</t>
        </is>
      </c>
      <c r="B16" s="12">
        <f>SUM(B8:B15)</f>
        <v/>
      </c>
      <c r="C16" s="12">
        <f>SUM(C8:C15)</f>
        <v/>
      </c>
      <c r="D16" s="12">
        <f>SUM(D8:D15)</f>
        <v/>
      </c>
      <c r="E16" s="13">
        <f>SUM(E8:E15)</f>
        <v/>
      </c>
    </row>
    <row r="18">
      <c r="A18" s="7" t="inlineStr">
        <is>
          <t>Line Item 2: 2 Sites x 1 Option (2 Variants, 42 Simulations)</t>
        </is>
      </c>
    </row>
    <row r="19">
      <c r="A19" s="8" t="inlineStr">
        <is>
          <t xml:space="preserve">  Build network models (2 sites)</t>
        </is>
      </c>
      <c r="B19" s="9" t="n">
        <v>20</v>
      </c>
      <c r="C19" s="9" t="n">
        <v>8</v>
      </c>
      <c r="D19" s="9" t="n">
        <v>2</v>
      </c>
      <c r="E19" s="10">
        <f>B19*$B6+C19*$C6+D19*$D6</f>
        <v/>
      </c>
    </row>
    <row r="20">
      <c r="A20" s="8" t="inlineStr">
        <is>
          <t xml:space="preserve">  Steady-state load flow validation (2 sites)</t>
        </is>
      </c>
      <c r="B20" s="9" t="n">
        <v>4</v>
      </c>
      <c r="C20" s="9" t="n">
        <v>2</v>
      </c>
      <c r="D20" s="9" t="n">
        <v>0</v>
      </c>
      <c r="E20" s="10">
        <f>B20*$B6+C20*$C6+D20*$D6</f>
        <v/>
      </c>
    </row>
    <row r="21">
      <c r="A21" s="8" t="inlineStr">
        <is>
          <t xml:space="preserve">  Execute simulations: Test 1 (4 steps x 2 variants)</t>
        </is>
      </c>
      <c r="B21" s="9" t="n">
        <v>4</v>
      </c>
      <c r="C21" s="9" t="n">
        <v>2</v>
      </c>
      <c r="D21" s="9" t="n">
        <v>0</v>
      </c>
      <c r="E21" s="10">
        <f>B21*$B6+C21*$C6+D21*$D6</f>
        <v/>
      </c>
    </row>
    <row r="22">
      <c r="A22" s="8" t="inlineStr">
        <is>
          <t xml:space="preserve">  Execute simulations: Test 2 (9 steps x 2 variants)</t>
        </is>
      </c>
      <c r="B22" s="9" t="n">
        <v>6</v>
      </c>
      <c r="C22" s="9" t="n">
        <v>3</v>
      </c>
      <c r="D22" s="9" t="n">
        <v>0</v>
      </c>
      <c r="E22" s="10">
        <f>B22*$B6+C22*$C6+D22*$D6</f>
        <v/>
      </c>
    </row>
    <row r="23">
      <c r="A23" s="8" t="inlineStr">
        <is>
          <t xml:space="preserve">  Execute simulations: Test 3 (8 steps x 2 variants)</t>
        </is>
      </c>
      <c r="B23" s="9" t="n">
        <v>6</v>
      </c>
      <c r="C23" s="9" t="n">
        <v>3</v>
      </c>
      <c r="D23" s="9" t="n">
        <v>0</v>
      </c>
      <c r="E23" s="10">
        <f>B23*$B6+C23*$C6+D23*$D6</f>
        <v/>
      </c>
    </row>
    <row r="24">
      <c r="A24" s="8" t="inlineStr">
        <is>
          <t xml:space="preserve">  Debug and re-run failed simulations</t>
        </is>
      </c>
      <c r="B24" s="9" t="n">
        <v>4</v>
      </c>
      <c r="C24" s="9" t="n">
        <v>2</v>
      </c>
      <c r="D24" s="9" t="n">
        <v>0</v>
      </c>
      <c r="E24" s="10">
        <f>B24*$B6+C24*$C6+D24*$D6</f>
        <v/>
      </c>
    </row>
    <row r="25">
      <c r="A25" s="8" t="inlineStr">
        <is>
          <t xml:space="preserve">  Data extraction and metric calculation (2 variants)</t>
        </is>
      </c>
      <c r="B25" s="9" t="n">
        <v>12</v>
      </c>
      <c r="C25" s="9" t="n">
        <v>6</v>
      </c>
      <c r="D25" s="9" t="n">
        <v>1</v>
      </c>
      <c r="E25" s="10">
        <f>B25*$B6+C25*$C6+D25*$D6</f>
        <v/>
      </c>
    </row>
    <row r="26">
      <c r="A26" s="8" t="inlineStr">
        <is>
          <t xml:space="preserve">  Populate Section B proforma Q44-Q149 (2 variants)</t>
        </is>
      </c>
      <c r="B26" s="9" t="n">
        <v>8</v>
      </c>
      <c r="C26" s="9" t="n">
        <v>4</v>
      </c>
      <c r="D26" s="9" t="n">
        <v>1</v>
      </c>
      <c r="E26" s="10">
        <f>B26*$B6+C26*$C6+D26*$D6</f>
        <v/>
      </c>
    </row>
    <row r="27">
      <c r="A27" s="8" t="inlineStr">
        <is>
          <t xml:space="preserve">  Author Feasibility Study Reports per NESO Template V3 (2 reports)</t>
        </is>
      </c>
      <c r="B27" s="9" t="n">
        <v>14</v>
      </c>
      <c r="C27" s="9" t="n">
        <v>6</v>
      </c>
      <c r="D27" s="9" t="n">
        <v>2</v>
      </c>
      <c r="E27" s="10">
        <f>B27*$B6+C27*$C6+D27*$D6</f>
        <v/>
      </c>
    </row>
    <row r="28">
      <c r="A28" s="8" t="inlineStr">
        <is>
          <t xml:space="preserve">  Generate time-series plots (42 tests)</t>
        </is>
      </c>
      <c r="B28" s="9" t="n">
        <v>6</v>
      </c>
      <c r="C28" s="9" t="n">
        <v>2</v>
      </c>
      <c r="D28" s="9" t="n">
        <v>0</v>
      </c>
      <c r="E28" s="10">
        <f>B28*$B6+C28*$C6+D28*$D6</f>
        <v/>
      </c>
    </row>
    <row r="29">
      <c r="A29" s="8" t="inlineStr">
        <is>
          <t xml:space="preserve">  Senior technical peer review (2 variants)</t>
        </is>
      </c>
      <c r="B29" s="9" t="n">
        <v>2</v>
      </c>
      <c r="C29" s="9" t="n">
        <v>4</v>
      </c>
      <c r="D29" s="9" t="n">
        <v>2</v>
      </c>
      <c r="E29" s="10">
        <f>B29*$B6+C29*$C6+D29*$D6</f>
        <v/>
      </c>
    </row>
    <row r="30">
      <c r="A30" s="8" t="inlineStr">
        <is>
          <t xml:space="preserve">  Address review comments and finalise</t>
        </is>
      </c>
      <c r="B30" s="9" t="n">
        <v>4</v>
      </c>
      <c r="C30" s="9" t="n">
        <v>2</v>
      </c>
      <c r="D30" s="9" t="n">
        <v>0</v>
      </c>
      <c r="E30" s="10">
        <f>B30*$B6+C30*$C6+D30*$D6</f>
        <v/>
      </c>
    </row>
    <row r="31">
      <c r="A31" s="8" t="inlineStr">
        <is>
          <t xml:space="preserve">  Contingency (5%)</t>
        </is>
      </c>
      <c r="B31" s="9" t="n">
        <v>5</v>
      </c>
      <c r="C31" s="9" t="n">
        <v>3</v>
      </c>
      <c r="D31" s="9" t="n">
        <v>1</v>
      </c>
      <c r="E31" s="10">
        <f>B31*$B6+C31*$C6+D31*$D6</f>
        <v/>
      </c>
    </row>
    <row r="32">
      <c r="A32" s="11" t="inlineStr">
        <is>
          <t xml:space="preserve">  Subtotal</t>
        </is>
      </c>
      <c r="B32" s="12">
        <f>SUM(B19:B31)</f>
        <v/>
      </c>
      <c r="C32" s="12">
        <f>SUM(C19:C31)</f>
        <v/>
      </c>
      <c r="D32" s="12">
        <f>SUM(D19:D31)</f>
        <v/>
      </c>
      <c r="E32" s="13">
        <f>SUM(E19:E31)</f>
        <v/>
      </c>
    </row>
    <row r="34">
      <c r="A34" s="7" t="inlineStr">
        <is>
          <t>Line Item 3: 4 Sites x 1 Option (4 Variants, 84 Simulations)</t>
        </is>
      </c>
    </row>
    <row r="35">
      <c r="A35" s="8" t="inlineStr">
        <is>
          <t xml:space="preserve">  Build network models (4 sites)</t>
        </is>
      </c>
      <c r="B35" s="9" t="n">
        <v>40</v>
      </c>
      <c r="C35" s="9" t="n">
        <v>16</v>
      </c>
      <c r="D35" s="9" t="n">
        <v>4</v>
      </c>
      <c r="E35" s="10">
        <f>B35*$B6+C35*$C6+D35*$D6</f>
        <v/>
      </c>
    </row>
    <row r="36">
      <c r="A36" s="8" t="inlineStr">
        <is>
          <t xml:space="preserve">  Steady-state load flow validation (4 sites)</t>
        </is>
      </c>
      <c r="B36" s="9" t="n">
        <v>8</v>
      </c>
      <c r="C36" s="9" t="n">
        <v>4</v>
      </c>
      <c r="D36" s="9" t="n">
        <v>1</v>
      </c>
      <c r="E36" s="10">
        <f>B36*$B6+C36*$C6+D36*$D6</f>
        <v/>
      </c>
    </row>
    <row r="37">
      <c r="A37" s="8" t="inlineStr">
        <is>
          <t xml:space="preserve">  Execute simulations: Test 1 (4 steps x 4 variants)</t>
        </is>
      </c>
      <c r="B37" s="9" t="n">
        <v>8</v>
      </c>
      <c r="C37" s="9" t="n">
        <v>4</v>
      </c>
      <c r="D37" s="9" t="n">
        <v>1</v>
      </c>
      <c r="E37" s="10">
        <f>B37*$B6+C37*$C6+D37*$D6</f>
        <v/>
      </c>
    </row>
    <row r="38">
      <c r="A38" s="8" t="inlineStr">
        <is>
          <t xml:space="preserve">  Execute simulations: Test 2 (9 steps x 4 variants)</t>
        </is>
      </c>
      <c r="B38" s="9" t="n">
        <v>12</v>
      </c>
      <c r="C38" s="9" t="n">
        <v>6</v>
      </c>
      <c r="D38" s="9" t="n">
        <v>1</v>
      </c>
      <c r="E38" s="10">
        <f>B38*$B6+C38*$C6+D38*$D6</f>
        <v/>
      </c>
    </row>
    <row r="39">
      <c r="A39" s="8" t="inlineStr">
        <is>
          <t xml:space="preserve">  Execute simulations: Test 3 (8 steps x 4 variants)</t>
        </is>
      </c>
      <c r="B39" s="9" t="n">
        <v>12</v>
      </c>
      <c r="C39" s="9" t="n">
        <v>6</v>
      </c>
      <c r="D39" s="9" t="n">
        <v>1</v>
      </c>
      <c r="E39" s="10">
        <f>B39*$B6+C39*$C6+D39*$D6</f>
        <v/>
      </c>
    </row>
    <row r="40">
      <c r="A40" s="8" t="inlineStr">
        <is>
          <t xml:space="preserve">  Debug and re-run failed simulations</t>
        </is>
      </c>
      <c r="B40" s="9" t="n">
        <v>8</v>
      </c>
      <c r="C40" s="9" t="n">
        <v>4</v>
      </c>
      <c r="D40" s="9" t="n">
        <v>0</v>
      </c>
      <c r="E40" s="10">
        <f>B40*$B6+C40*$C6+D40*$D6</f>
        <v/>
      </c>
    </row>
    <row r="41">
      <c r="A41" s="8" t="inlineStr">
        <is>
          <t xml:space="preserve">  Data extraction and metric calculation (4 variants)</t>
        </is>
      </c>
      <c r="B41" s="9" t="n">
        <v>20</v>
      </c>
      <c r="C41" s="9" t="n">
        <v>8</v>
      </c>
      <c r="D41" s="9" t="n">
        <v>1</v>
      </c>
      <c r="E41" s="10">
        <f>B41*$B6+C41*$C6+D41*$D6</f>
        <v/>
      </c>
    </row>
    <row r="42">
      <c r="A42" s="8" t="inlineStr">
        <is>
          <t xml:space="preserve">  Populate Section B proforma Q44-Q149 (4 variants)</t>
        </is>
      </c>
      <c r="B42" s="9" t="n">
        <v>16</v>
      </c>
      <c r="C42" s="9" t="n">
        <v>8</v>
      </c>
      <c r="D42" s="9" t="n">
        <v>2</v>
      </c>
      <c r="E42" s="10">
        <f>B42*$B6+C42*$C6+D42*$D6</f>
        <v/>
      </c>
    </row>
    <row r="43">
      <c r="A43" s="8" t="inlineStr">
        <is>
          <t xml:space="preserve">  Author Feasibility Study Reports per NESO Template V3 (4 reports)</t>
        </is>
      </c>
      <c r="B43" s="9" t="n">
        <v>24</v>
      </c>
      <c r="C43" s="9" t="n">
        <v>12</v>
      </c>
      <c r="D43" s="9" t="n">
        <v>4</v>
      </c>
      <c r="E43" s="10">
        <f>B43*$B6+C43*$C6+D43*$D6</f>
        <v/>
      </c>
    </row>
    <row r="44">
      <c r="A44" s="8" t="inlineStr">
        <is>
          <t xml:space="preserve">  Generate time-series plots (84 tests)</t>
        </is>
      </c>
      <c r="B44" s="9" t="n">
        <v>12</v>
      </c>
      <c r="C44" s="9" t="n">
        <v>4</v>
      </c>
      <c r="D44" s="9" t="n">
        <v>0</v>
      </c>
      <c r="E44" s="10">
        <f>B44*$B6+C44*$C6+D44*$D6</f>
        <v/>
      </c>
    </row>
    <row r="45">
      <c r="A45" s="8" t="inlineStr">
        <is>
          <t xml:space="preserve">  Senior technical peer review (4 variants)</t>
        </is>
      </c>
      <c r="B45" s="9" t="n">
        <v>4</v>
      </c>
      <c r="C45" s="9" t="n">
        <v>8</v>
      </c>
      <c r="D45" s="9" t="n">
        <v>4</v>
      </c>
      <c r="E45" s="10">
        <f>B45*$B6+C45*$C6+D45*$D6</f>
        <v/>
      </c>
    </row>
    <row r="46">
      <c r="A46" s="8" t="inlineStr">
        <is>
          <t xml:space="preserve">  Address review comments and finalise</t>
        </is>
      </c>
      <c r="B46" s="9" t="n">
        <v>8</v>
      </c>
      <c r="C46" s="9" t="n">
        <v>4</v>
      </c>
      <c r="D46" s="9" t="n">
        <v>1</v>
      </c>
      <c r="E46" s="10">
        <f>B46*$B6+C46*$C6+D46*$D6</f>
        <v/>
      </c>
    </row>
    <row r="47">
      <c r="A47" s="8" t="inlineStr">
        <is>
          <t xml:space="preserve">  Contingency (5%)</t>
        </is>
      </c>
      <c r="B47" s="9" t="n">
        <v>10</v>
      </c>
      <c r="C47" s="9" t="n">
        <v>5</v>
      </c>
      <c r="D47" s="9" t="n">
        <v>1</v>
      </c>
      <c r="E47" s="10">
        <f>B47*$B6+C47*$C6+D47*$D6</f>
        <v/>
      </c>
    </row>
    <row r="48">
      <c r="A48" s="11" t="inlineStr">
        <is>
          <t xml:space="preserve">  Subtotal</t>
        </is>
      </c>
      <c r="B48" s="12">
        <f>SUM(B35:B47)</f>
        <v/>
      </c>
      <c r="C48" s="12">
        <f>SUM(C35:C47)</f>
        <v/>
      </c>
      <c r="D48" s="12">
        <f>SUM(D35:D47)</f>
        <v/>
      </c>
      <c r="E48" s="13">
        <f>SUM(E35:E47)</f>
        <v/>
      </c>
    </row>
    <row r="50">
      <c r="A50" s="7" t="inlineStr">
        <is>
          <t>Line Item 4: 6 Sites x 2 Options (12 Variants, 252 Simulations) -- Volume Discount Applied</t>
        </is>
      </c>
    </row>
    <row r="51">
      <c r="A51" s="8" t="inlineStr">
        <is>
          <t xml:space="preserve">  Build network models (6 sites, 2 config variants each)</t>
        </is>
      </c>
      <c r="B51" s="9" t="n">
        <v>56</v>
      </c>
      <c r="C51" s="9" t="n">
        <v>24</v>
      </c>
      <c r="D51" s="9" t="n">
        <v>4</v>
      </c>
      <c r="E51" s="10">
        <f>B51*$B6+C51*$C6+D51*$D6</f>
        <v/>
      </c>
    </row>
    <row r="52">
      <c r="A52" s="8" t="inlineStr">
        <is>
          <t xml:space="preserve">  Steady-state load flow validation (12 variants)</t>
        </is>
      </c>
      <c r="B52" s="9" t="n">
        <v>16</v>
      </c>
      <c r="C52" s="9" t="n">
        <v>6</v>
      </c>
      <c r="D52" s="9" t="n">
        <v>1</v>
      </c>
      <c r="E52" s="10">
        <f>B52*$B6+C52*$C6+D52*$D6</f>
        <v/>
      </c>
    </row>
    <row r="53">
      <c r="A53" s="8" t="inlineStr">
        <is>
          <t xml:space="preserve">  Execute simulations: Test 1 (4 steps x 12 variants)</t>
        </is>
      </c>
      <c r="B53" s="9" t="n">
        <v>16</v>
      </c>
      <c r="C53" s="9" t="n">
        <v>8</v>
      </c>
      <c r="D53" s="9" t="n">
        <v>1</v>
      </c>
      <c r="E53" s="10">
        <f>B53*$B6+C53*$C6+D53*$D6</f>
        <v/>
      </c>
    </row>
    <row r="54">
      <c r="A54" s="8" t="inlineStr">
        <is>
          <t xml:space="preserve">  Execute simulations: Test 2 (9 steps x 12 variants)</t>
        </is>
      </c>
      <c r="B54" s="9" t="n">
        <v>24</v>
      </c>
      <c r="C54" s="9" t="n">
        <v>12</v>
      </c>
      <c r="D54" s="9" t="n">
        <v>1</v>
      </c>
      <c r="E54" s="10">
        <f>B54*$B6+C54*$C6+D54*$D6</f>
        <v/>
      </c>
    </row>
    <row r="55">
      <c r="A55" s="8" t="inlineStr">
        <is>
          <t xml:space="preserve">  Execute simulations: Test 3 (8 steps x 12 variants)</t>
        </is>
      </c>
      <c r="B55" s="9" t="n">
        <v>24</v>
      </c>
      <c r="C55" s="9" t="n">
        <v>12</v>
      </c>
      <c r="D55" s="9" t="n">
        <v>1</v>
      </c>
      <c r="E55" s="10">
        <f>B55*$B6+C55*$C6+D55*$D6</f>
        <v/>
      </c>
    </row>
    <row r="56">
      <c r="A56" s="8" t="inlineStr">
        <is>
          <t xml:space="preserve">  Debug and re-run failed simulations</t>
        </is>
      </c>
      <c r="B56" s="9" t="n">
        <v>16</v>
      </c>
      <c r="C56" s="9" t="n">
        <v>8</v>
      </c>
      <c r="D56" s="9" t="n">
        <v>0</v>
      </c>
      <c r="E56" s="10">
        <f>B56*$B6+C56*$C6+D56*$D6</f>
        <v/>
      </c>
    </row>
    <row r="57">
      <c r="A57" s="8" t="inlineStr">
        <is>
          <t xml:space="preserve">  Data extraction and metric calculation (12 variants)</t>
        </is>
      </c>
      <c r="B57" s="9" t="n">
        <v>40</v>
      </c>
      <c r="C57" s="9" t="n">
        <v>16</v>
      </c>
      <c r="D57" s="9" t="n">
        <v>2</v>
      </c>
      <c r="E57" s="10">
        <f>B57*$B6+C57*$C6+D57*$D6</f>
        <v/>
      </c>
    </row>
    <row r="58">
      <c r="A58" s="8" t="inlineStr">
        <is>
          <t xml:space="preserve">  Populate Section B proforma Q44-Q149 (12 variants)</t>
        </is>
      </c>
      <c r="B58" s="9" t="n">
        <v>36</v>
      </c>
      <c r="C58" s="9" t="n">
        <v>16</v>
      </c>
      <c r="D58" s="9" t="n">
        <v>3</v>
      </c>
      <c r="E58" s="10">
        <f>B58*$B6+C58*$C6+D58*$D6</f>
        <v/>
      </c>
    </row>
    <row r="59">
      <c r="A59" s="8" t="inlineStr">
        <is>
          <t xml:space="preserve">  Author Feasibility Study Reports per NESO Template V3 (12 reports)</t>
        </is>
      </c>
      <c r="B59" s="9" t="n">
        <v>48</v>
      </c>
      <c r="C59" s="9" t="n">
        <v>24</v>
      </c>
      <c r="D59" s="9" t="n">
        <v>6</v>
      </c>
      <c r="E59" s="10">
        <f>B59*$B6+C59*$C6+D59*$D6</f>
        <v/>
      </c>
    </row>
    <row r="60">
      <c r="A60" s="8" t="inlineStr">
        <is>
          <t xml:space="preserve">  Generate time-series plots (252 tests)</t>
        </is>
      </c>
      <c r="B60" s="9" t="n">
        <v>24</v>
      </c>
      <c r="C60" s="9" t="n">
        <v>8</v>
      </c>
      <c r="D60" s="9" t="n">
        <v>0</v>
      </c>
      <c r="E60" s="10">
        <f>B60*$B6+C60*$C6+D60*$D6</f>
        <v/>
      </c>
    </row>
    <row r="61">
      <c r="A61" s="8" t="inlineStr">
        <is>
          <t xml:space="preserve">  Senior technical peer review (12 variants)</t>
        </is>
      </c>
      <c r="B61" s="9" t="n">
        <v>8</v>
      </c>
      <c r="C61" s="9" t="n">
        <v>16</v>
      </c>
      <c r="D61" s="9" t="n">
        <v>8</v>
      </c>
      <c r="E61" s="10">
        <f>B61*$B6+C61*$C6+D61*$D6</f>
        <v/>
      </c>
    </row>
    <row r="62">
      <c r="A62" s="8" t="inlineStr">
        <is>
          <t xml:space="preserve">  Address review comments and finalise</t>
        </is>
      </c>
      <c r="B62" s="9" t="n">
        <v>16</v>
      </c>
      <c r="C62" s="9" t="n">
        <v>8</v>
      </c>
      <c r="D62" s="9" t="n">
        <v>2</v>
      </c>
      <c r="E62" s="10">
        <f>B62*$B6+C62*$C6+D62*$D6</f>
        <v/>
      </c>
    </row>
    <row r="63">
      <c r="A63" s="8" t="inlineStr">
        <is>
          <t xml:space="preserve">  Contingency (5%)</t>
        </is>
      </c>
      <c r="B63" s="9" t="n">
        <v>18</v>
      </c>
      <c r="C63" s="9" t="n">
        <v>9</v>
      </c>
      <c r="D63" s="9" t="n">
        <v>2</v>
      </c>
      <c r="E63" s="10">
        <f>B63*$B6+C63*$C6+D63*$D6</f>
        <v/>
      </c>
    </row>
    <row r="64">
      <c r="A64" s="11" t="inlineStr">
        <is>
          <t xml:space="preserve">  Subtotal</t>
        </is>
      </c>
      <c r="B64" s="12">
        <f>SUM(B51:B63)</f>
        <v/>
      </c>
      <c r="C64" s="12">
        <f>SUM(C51:C63)</f>
        <v/>
      </c>
      <c r="D64" s="12">
        <f>SUM(D51:D63)</f>
        <v/>
      </c>
      <c r="E64" s="13">
        <f>SUM(E51:E63)</f>
        <v/>
      </c>
    </row>
    <row r="66">
      <c r="A66" s="14" t="inlineStr">
        <is>
          <t>TOTAL HOURS &amp; COST</t>
        </is>
      </c>
      <c r="B66" s="15">
        <f>B16+B32+B48+B64</f>
        <v/>
      </c>
      <c r="C66" s="15">
        <f>C16+C32+C48+C64</f>
        <v/>
      </c>
      <c r="D66" s="15">
        <f>D16+D32+D48+D64</f>
        <v/>
      </c>
      <c r="E66" s="16">
        <f>B66*$B6+C66*$C6+D66*$D6</f>
        <v/>
      </c>
    </row>
    <row r="67">
      <c r="A67" s="17" t="inlineStr">
        <is>
          <t>Total Hours:</t>
        </is>
      </c>
      <c r="B67" s="18">
        <f>B66+C66+D66</f>
        <v/>
      </c>
    </row>
    <row r="70">
      <c r="A70" s="19" t="inlineStr">
        <is>
          <t>CLIENT SUMMARY - Work Package Overview</t>
        </is>
      </c>
    </row>
    <row r="71">
      <c r="A71" s="20" t="inlineStr">
        <is>
          <t>Work Package</t>
        </is>
      </c>
      <c r="B71" s="20" t="inlineStr">
        <is>
          <t>Total Hours</t>
        </is>
      </c>
      <c r="C71" s="20" t="inlineStr">
        <is>
          <t>Cost</t>
        </is>
      </c>
      <c r="D71" s="20" t="inlineStr">
        <is>
          <t>Notes</t>
        </is>
      </c>
    </row>
    <row r="72">
      <c r="A72" s="8" t="inlineStr">
        <is>
          <t>Item 1: Study Setup (One-Time)</t>
        </is>
      </c>
      <c r="B72" s="21">
        <f>B16+C16+D16</f>
        <v/>
      </c>
      <c r="C72" s="10">
        <f>E16</f>
        <v/>
      </c>
      <c r="D72" s="22" t="inlineStr">
        <is>
          <t>Technical work and deliverables</t>
        </is>
      </c>
    </row>
    <row r="73">
      <c r="A73" s="8" t="inlineStr">
        <is>
          <t>Item 2: 2 Sites x 1 Option (2 Variants, 42 Simulations)</t>
        </is>
      </c>
      <c r="B73" s="21">
        <f>B32+C32+D32</f>
        <v/>
      </c>
      <c r="C73" s="10">
        <f>E32</f>
        <v/>
      </c>
      <c r="D73" s="22" t="inlineStr">
        <is>
          <t>Technical work and deliverables</t>
        </is>
      </c>
    </row>
    <row r="74">
      <c r="A74" s="8" t="inlineStr">
        <is>
          <t>Item 3: 4 Sites x 1 Option (4 Variants, 84 Simulations)</t>
        </is>
      </c>
      <c r="B74" s="21">
        <f>B48+C48+D48</f>
        <v/>
      </c>
      <c r="C74" s="10">
        <f>E48</f>
        <v/>
      </c>
      <c r="D74" s="22" t="inlineStr">
        <is>
          <t>Technical work and deliverables</t>
        </is>
      </c>
    </row>
    <row r="75">
      <c r="A75" s="8" t="inlineStr">
        <is>
          <t>Item 4: 6 Sites x 2 Options (12 Variants, 252 Simulations) -- Volume Discount Applied</t>
        </is>
      </c>
      <c r="B75" s="21">
        <f>B64+C64+D64</f>
        <v/>
      </c>
      <c r="C75" s="10">
        <f>E64</f>
        <v/>
      </c>
      <c r="D75" s="22" t="inlineStr">
        <is>
          <t>Technical work and deliverables</t>
        </is>
      </c>
    </row>
    <row r="76">
      <c r="A76" s="14" t="inlineStr">
        <is>
          <t>PROJECT TOTAL</t>
        </is>
      </c>
      <c r="B76" s="23">
        <f>SUM(B72:B75)</f>
        <v/>
      </c>
      <c r="C76" s="16">
        <f>SUM(C72:C75)</f>
        <v/>
      </c>
      <c r="D76" s="14" t="n"/>
    </row>
  </sheetData>
  <mergeCells count="8">
    <mergeCell ref="A34:E34"/>
    <mergeCell ref="A50:E50"/>
    <mergeCell ref="A70:D70"/>
    <mergeCell ref="A2:E2"/>
    <mergeCell ref="A7:E7"/>
    <mergeCell ref="A1:E1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2026-03-23T18:35:15Z</dcterms:created>
  <dcterms:modified xmlns:dcterms="http://purl.org/dc/terms/" xmlns:xsi="http://www.w3.org/2001/XMLSchema-instance" xsi:type="dcterms:W3CDTF">2026-03-23T18:35:15Z</dcterms:modified>
</cp:coreProperties>
</file>