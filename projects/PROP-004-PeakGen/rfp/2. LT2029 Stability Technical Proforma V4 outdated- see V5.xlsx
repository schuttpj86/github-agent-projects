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alexandra.millar\Downloads\"/>
    </mc:Choice>
  </mc:AlternateContent>
  <xr:revisionPtr revIDLastSave="0" documentId="13_ncr:1_{073EDD54-648C-496F-B800-DCEBDF8205A5}" xr6:coauthVersionLast="47" xr6:coauthVersionMax="47" xr10:uidLastSave="{00000000-0000-0000-0000-000000000000}"/>
  <workbookProtection workbookAlgorithmName="SHA-512" workbookHashValue="vp6cbSPY3iKqQ9z8LCTIOy+O2gDhnK2kldFWInNFATx5A6Sh8NFkl4Y4PyJA/9HUNGF463sXpUX5z8OApzQE3g==" workbookSaltValue="FUblmrFOOQV5QRfZOUS2eQ==" workbookSpinCount="100000" lockStructure="1"/>
  <bookViews>
    <workbookView xWindow="-110" yWindow="-110" windowWidth="19420" windowHeight="10420" xr2:uid="{D88294E9-79E8-4B60-8438-048A81E2B7EA}"/>
  </bookViews>
  <sheets>
    <sheet name="Version Control" sheetId="6" r:id="rId1"/>
    <sheet name="Introduction" sheetId="7" r:id="rId2"/>
    <sheet name="A Solution Outline" sheetId="9" r:id="rId3"/>
    <sheet name="B. Feasibility Simulation" sheetId="2" r:id="rId4"/>
    <sheet name="C. DRC Data"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2" l="1"/>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B52" i="9"/>
  <c r="B53" i="9" s="1"/>
  <c r="B54" i="9" s="1"/>
  <c r="B55" i="9" s="1"/>
  <c r="B51" i="9"/>
  <c r="B49" i="9"/>
  <c r="B48" i="9"/>
  <c r="B47" i="9"/>
  <c r="B21" i="9"/>
  <c r="B22" i="9" s="1"/>
  <c r="B23" i="9" s="1"/>
  <c r="B24" i="9" s="1"/>
  <c r="B25" i="9" s="1"/>
  <c r="B26" i="9" s="1"/>
  <c r="B27" i="9" s="1"/>
  <c r="B28" i="9" s="1"/>
  <c r="B29" i="9" s="1"/>
  <c r="B30" i="9" s="1"/>
  <c r="B31" i="9" s="1"/>
  <c r="B32" i="9" s="1"/>
  <c r="B33" i="9" s="1"/>
  <c r="B34" i="9" s="1"/>
  <c r="B35" i="9" s="1"/>
  <c r="B36" i="9" s="1"/>
  <c r="B37" i="9" s="1"/>
  <c r="B38" i="9" s="1"/>
  <c r="B39" i="9" s="1"/>
  <c r="B40" i="9" s="1"/>
  <c r="B41" i="9" s="1"/>
  <c r="B42" i="9" s="1"/>
  <c r="B43" i="9" s="1"/>
  <c r="A9" i="2"/>
  <c r="A10" i="2" s="1"/>
  <c r="A11" i="2" s="1"/>
  <c r="A12" i="2" s="1"/>
  <c r="A13" i="2" s="1"/>
  <c r="A14" i="2" s="1"/>
  <c r="A15" i="2" s="1"/>
  <c r="A16" i="2" s="1"/>
  <c r="A17" i="2" s="1"/>
  <c r="A18" i="2" s="1"/>
  <c r="A19" i="2" s="1"/>
  <c r="A20" i="2" s="1"/>
  <c r="A21" i="2" s="1"/>
  <c r="A22" i="2" s="1"/>
  <c r="A23" i="2" s="1"/>
  <c r="A24" i="2" s="1"/>
</calcChain>
</file>

<file path=xl/sharedStrings.xml><?xml version="1.0" encoding="utf-8"?>
<sst xmlns="http://schemas.openxmlformats.org/spreadsheetml/2006/main" count="947" uniqueCount="300">
  <si>
    <t>Version Control</t>
  </si>
  <si>
    <t>Version</t>
  </si>
  <si>
    <t>Description</t>
  </si>
  <si>
    <t>Date</t>
  </si>
  <si>
    <t>V1</t>
  </si>
  <si>
    <t>Initial publication at ITT launch</t>
  </si>
  <si>
    <t>16 July 2025</t>
  </si>
  <si>
    <t>V2</t>
  </si>
  <si>
    <t>Updated version during the ITT Stage. Additional questions have been added to both the "A.Solution Outline" tab and "B.Feasibility Simulation" tab. These are marked with a V2 indicator.</t>
  </si>
  <si>
    <t>22 August 2025</t>
  </si>
  <si>
    <t>V3</t>
  </si>
  <si>
    <t xml:space="preserve">Updated version during the ITT Stage. Clarification for solutions part of a larger installation. Updates are marked with a 'V3' indicator. </t>
  </si>
  <si>
    <t>12 September 2025</t>
  </si>
  <si>
    <t>V4</t>
  </si>
  <si>
    <t>18 November 2025</t>
  </si>
  <si>
    <t xml:space="preserve">Long-term 2029 Tender </t>
  </si>
  <si>
    <t>Stability Service Technical Submission</t>
  </si>
  <si>
    <t>Introduction</t>
  </si>
  <si>
    <t xml:space="preserve">This document should be used to respond to the stability service technical questions where a bidder is bidding in for the Stabiltiy Service as part of the Long-term 2029 tender. 
This document should be read in conjunction with the relevant sections of the other ITT documents.  
This document should be completed in full. Failure to complete this document in full may result in your submission being rejected. 
Tenderers must not amend this document in anyway. Should tenderers amend this document NESO reserve the right the reject your tender submission. </t>
  </si>
  <si>
    <t xml:space="preserve">Please refer to the Instructions to Tenderers for the ITT submission deadline.  Tenderers should submit their response using the Ariba platform. </t>
  </si>
  <si>
    <t xml:space="preserve">Instructions </t>
  </si>
  <si>
    <r>
      <rPr>
        <b/>
        <sz val="11"/>
        <rFont val="Arial"/>
        <family val="2"/>
      </rPr>
      <t xml:space="preserve">Section A: </t>
    </r>
    <r>
      <rPr>
        <sz val="11"/>
        <rFont val="Arial"/>
        <family val="2"/>
      </rPr>
      <t xml:space="preserve"> Solution Outline must be completed, responding to each question for each Solution being proposed.</t>
    </r>
  </si>
  <si>
    <r>
      <rPr>
        <b/>
        <sz val="11"/>
        <rFont val="Arial"/>
        <family val="2"/>
      </rPr>
      <t xml:space="preserve">Section B:  </t>
    </r>
    <r>
      <rPr>
        <sz val="11"/>
        <rFont val="Arial"/>
        <family val="2"/>
      </rPr>
      <t>Feasibility Simulation must be completed, responding to each question for each Solution being proposed.</t>
    </r>
  </si>
  <si>
    <r>
      <rPr>
        <b/>
        <sz val="11"/>
        <color rgb="FF000000"/>
        <rFont val="Arial"/>
        <family val="2"/>
      </rPr>
      <t xml:space="preserve">Section C: </t>
    </r>
    <r>
      <rPr>
        <sz val="11"/>
        <color rgb="FF000000"/>
        <rFont val="Arial"/>
        <family val="2"/>
      </rPr>
      <t xml:space="preserve"> DRC Data should be provided based on the details of this tab. </t>
    </r>
  </si>
  <si>
    <t xml:space="preserve">The cap on solutions must not be exceeded. </t>
  </si>
  <si>
    <t>Tenderers should only fill in the cells highlighted in light blue.</t>
  </si>
  <si>
    <t xml:space="preserve">Please confirm using the drop box below that you understand and agree with the following conditions </t>
  </si>
  <si>
    <t>I have completed the Stability Technical Submission document fully and accurately to the best of my knowledge.</t>
  </si>
  <si>
    <t xml:space="preserve">I understand that to be considered for provision of the stability service under the long-term 2029 contract I must pass all pass/fail requirements. </t>
  </si>
  <si>
    <t>I understand and agree that NESO reserve the right (but not the obligation) to publish key parameters of this bid when publishing the tender results</t>
  </si>
  <si>
    <t xml:space="preserve">Section A: Stability Service Technical Compliance Assessment - Solution Outline </t>
  </si>
  <si>
    <t xml:space="preserve">Please provide us information on the technological solution you intend to offer for the stability service. 
Tenderers are able to submit a number of solutions in line with the cap. Please use a separate column to respond for each solution. 
The number of solutions should not exceed the solution cap. </t>
  </si>
  <si>
    <t>No.</t>
  </si>
  <si>
    <t>Question/Information Required </t>
  </si>
  <si>
    <t xml:space="preserve">Scoring Methodology </t>
  </si>
  <si>
    <t xml:space="preserve">Scoring Criteria </t>
  </si>
  <si>
    <t>Response format</t>
  </si>
  <si>
    <t>Solution 1</t>
  </si>
  <si>
    <t>Solution 2</t>
  </si>
  <si>
    <t>Solution 3</t>
  </si>
  <si>
    <t>Solution 4</t>
  </si>
  <si>
    <t>Solution 5</t>
  </si>
  <si>
    <t>Solution 6 - Please add additional columns for additional solutions as required</t>
  </si>
  <si>
    <t xml:space="preserve">Please enter a solution reference number for each proposed solution using the reference convention provided. This will be the solution identifier throughout the tender assessment process. </t>
  </si>
  <si>
    <t>[Company Name]-Bid1</t>
  </si>
  <si>
    <t>[Company Name]-Bid2</t>
  </si>
  <si>
    <t>[Company Name]-Bid3</t>
  </si>
  <si>
    <t>[Company Name]-Bid4</t>
  </si>
  <si>
    <t>[Company Name]-Bid5</t>
  </si>
  <si>
    <t>[Company Name]-Bid6</t>
  </si>
  <si>
    <t xml:space="preserve">For each solution please confirm the company name that would enter the contract for this solution (this should match what is provided in the pricing submission proforma) </t>
  </si>
  <si>
    <t>[Contracting Entity]</t>
  </si>
  <si>
    <t>Eligibility Criteria Questions</t>
  </si>
  <si>
    <t>Please confirm that the solution is within a region of need.</t>
  </si>
  <si>
    <t xml:space="preserve">Pass/Fail </t>
  </si>
  <si>
    <t xml:space="preserve">Pass = the solution is within one of the defined regions of need
Fail = the solution is not within one of the defined regions of need, or there is insufficient explanation about which substation the solution will connect to, leaving NESO with uncertainty
Responses to Q2 will be taken into account when scoring this question. </t>
  </si>
  <si>
    <t xml:space="preserve">State yes or no and explain which substation,  or which point on the transmission system, that the solution is connected to/ intends to directly or radially connect to.
</t>
  </si>
  <si>
    <t>Enter response here</t>
  </si>
  <si>
    <t>Please state which region (s) of need this solution falls into</t>
  </si>
  <si>
    <t>For information. Response will be used to inform the scoring of Q1 above</t>
  </si>
  <si>
    <t>Please also state which region (s) of need it falls into, based on the stability technical specification and effectiveness documents</t>
  </si>
  <si>
    <t>How do you expect to meet 90% availability for the declared stability capability (both SCL and inertia)?</t>
  </si>
  <si>
    <t>For Information. The  response will be used to inform the scoring of Q4</t>
  </si>
  <si>
    <t>For Information. The response will be used to inform the scoring of Q4</t>
  </si>
  <si>
    <r>
      <t>Provide justification/rationale based on the following: technology/connection details/expectations/limitations</t>
    </r>
    <r>
      <rPr>
        <sz val="11"/>
        <color rgb="FFFFC000"/>
        <rFont val="Calibri"/>
        <family val="2"/>
        <scheme val="minor"/>
      </rPr>
      <t>.</t>
    </r>
  </si>
  <si>
    <t xml:space="preserve">Can the solution meet the 90% minimum availability criteria for the declared stability capability (both SCL and inertia)? </t>
  </si>
  <si>
    <t xml:space="preserve">Pass = The bidder has stated yes and provided sufficient explanation and evidence to demonstrate that the 90% availability requirement can be met 
Fail = The bidder has stated no, the solution cannot meet the 90% availability criteria, or the bidder has stated yes but does not provide sufficient explanation and evidence  that the 90% availability requirement can be met 
Responses to Q3 will be taken into account when scoring this question. </t>
  </si>
  <si>
    <t>State yes/no. If stating no, provide additional information on why you can not meet this criteria.</t>
  </si>
  <si>
    <t>Does the solution have any agreements which include an intertripping scheme, including but not limited to a System  to Generator Operational Intertripping Scheme Category 1 or Category 3 ? 
For the purpose of this question, protection and control (P&amp;C) is not included.</t>
  </si>
  <si>
    <t>For Information. The  response will be used to inform the scoring of Q6</t>
  </si>
  <si>
    <t>For Information. The response will be used to inform the scoring of Q6</t>
  </si>
  <si>
    <t>Please state and detail any interipping scheme.</t>
  </si>
  <si>
    <t>Please confirm that the connection design of the solution will not impede its ability to maintain 90% availability?</t>
  </si>
  <si>
    <t xml:space="preserve">Pass/fail </t>
  </si>
  <si>
    <t xml:space="preserve">Pass = The bidder has stated yes and provided sufficient explanation/evidence to demonstrate that the connection design will not affect the availability of the solution and ability to meet the 90% availability requirement 
Fail = The bidder has stated no, or the bidder has stated yes but there is insufficient explanation/evidence provided to demonstrate that the connection design will not affect the availability of the solution and ability to meet the 90% availability requirement 
Responses to Q5 will be taken into account when scoring this question. </t>
  </si>
  <si>
    <t xml:space="preserve">Yes/No with an explanation of your connection design and how it enables your availability </t>
  </si>
  <si>
    <t xml:space="preserve">Please confirm whether your solution is 1) new, 2) providing additional capability through incremental investment or 3) an existing asset that can operate at 0MW or independently of MW 
Note: the definitions for each of these terms are as per the Stability Techncial Specification </t>
  </si>
  <si>
    <t xml:space="preserve">Pass = Solution is either new, providing additional capability through incremental investment or an existing  asset, and in any case the bidder has provided sufficient explanation/evidence to demonstrate it meets the definitions as per the Stability Techncial Specification 
Fail = Solution is not new,  providing additional capability through incremental investment or an existing asset that can operate at 0MW or independently of MW;  or the bidder has not provided sufficient explanation/evidence to demonstrate this based on the definitions as per the Stability Techncial Specification 
Response to Q8 will be taken into account when scoring this question. </t>
  </si>
  <si>
    <t xml:space="preserve">Please state whether your solution is "new",  "providing additional capability thorugh incremental investment" or "an existing  asset" </t>
  </si>
  <si>
    <t xml:space="preserve">Further to Q7, please explain how your solution is either 1) new, 2)  providing additional capability through incremental investment or 3) an existing asset  based on the definitions in the Stability Technical Specification </t>
  </si>
  <si>
    <t>For Information. The  response will be used to inform the scoring of Q7</t>
  </si>
  <si>
    <t>For Information. The response will be used to inform the scoring of Q7</t>
  </si>
  <si>
    <t xml:space="preserve">Free text explanation </t>
  </si>
  <si>
    <t xml:space="preserve">Please confirm that your solution is not fitted with RoCoF protection relays or any other equipment that may impede your solutions ability to supply Active RoCoF Response Power </t>
  </si>
  <si>
    <t xml:space="preserve">Pass = Sufficient explanation or evidence provided that there are no or there will be no RoCoF protection relays or other equipment that may impede the Active RoCoF Response Power
Fail = Insufficient evidence or explanation that  there are no or there will be no RoCoF protection relays or other equipment that may impede the Active RoCoF Response Power; or  it is confirmed there is going to be RoCoF protection relays/equipment that may impede the Active RoCoF Response Power. </t>
  </si>
  <si>
    <t>If the solution is GBGF-S can the inertia service be provided at 0MW export?</t>
  </si>
  <si>
    <t>Pass/Fail/Not Applicable</t>
  </si>
  <si>
    <t>Pass = The inertia service can provided at 0MW export
Fail = The inertia service cannot be provided at 0MW export
Not Applicable = the solution is not GBGF-S</t>
  </si>
  <si>
    <t xml:space="preserve">Yes/No/Not Applicable </t>
  </si>
  <si>
    <t xml:space="preserve">Technology Questions </t>
  </si>
  <si>
    <t>What is the  technology type of your proposed solution?</t>
  </si>
  <si>
    <t xml:space="preserve">For Information
We reserve the right to use the response to this question to inform scoring of other questions </t>
  </si>
  <si>
    <t>e.g. synchronous/ grid forming converter/ other (if other please describe)</t>
  </si>
  <si>
    <t>Who is the Original Equipment Manufacturer (OEM) of your proposed solution?</t>
  </si>
  <si>
    <t xml:space="preserve">Please state your OEM and provide any supporting OEM documents about your solution </t>
  </si>
  <si>
    <t>Is there anything else you would like to tell us about this technology?</t>
  </si>
  <si>
    <t>Free text</t>
  </si>
  <si>
    <r>
      <t xml:space="preserve">Please confirm that you have provided a single line diagram as an attachment to this Technical submission document </t>
    </r>
    <r>
      <rPr>
        <sz val="11"/>
        <color rgb="FFCC00CC"/>
        <rFont val="Calibri"/>
        <family val="2"/>
        <scheme val="minor"/>
      </rPr>
      <t xml:space="preserve">V3 </t>
    </r>
    <r>
      <rPr>
        <sz val="11"/>
        <rFont val="Calibri"/>
        <family val="2"/>
        <scheme val="minor"/>
      </rPr>
      <t>This must cover the whole installation where applicable.</t>
    </r>
  </si>
  <si>
    <t>State yes/no. If yes, please state the document reference of the provided single line diagram.</t>
  </si>
  <si>
    <t>What is the MVA rating of the proposed solution?</t>
  </si>
  <si>
    <t xml:space="preserve">Please state the rating in MVA. If the solution comprises of multiple units, please state the rating of each unit.  </t>
  </si>
  <si>
    <t xml:space="preserve">What is your expected active power export during normal operation (MW)?  </t>
  </si>
  <si>
    <t xml:space="preserve">State in MW.  </t>
  </si>
  <si>
    <t xml:space="preserve">What is your expected power consumption during normal operation (MW)?  </t>
  </si>
  <si>
    <t xml:space="preserve">State in MW. </t>
  </si>
  <si>
    <t xml:space="preserve">Can the proposed solution provide the Short Circuit Level response as defined in the Technical Specification?
</t>
  </si>
  <si>
    <t>Pass = Yes with sufficient explanation provided to demonstrate capability
 Fail = No, or Yes with insufficient explanation of capability</t>
  </si>
  <si>
    <t xml:space="preserve">State yes/no and provide justification for your response. </t>
  </si>
  <si>
    <t>Are there any limitations on your solution's repeated ability to provide Fast Fault Current Injection?</t>
  </si>
  <si>
    <t>What is the peak current rating of the proposed solution as defined in the technical specification?</t>
  </si>
  <si>
    <t>How does your SCL availability relate to your steady state active power and/or reactive power output?</t>
  </si>
  <si>
    <t xml:space="preserve">Describe any dependencies </t>
  </si>
  <si>
    <t>Can the proposed solution provide an  inertia response as defined in the technical specification? 
This includes being able to deliver the inertia response for as long as the service is instructed.</t>
  </si>
  <si>
    <t>Is the inertia provided by the solution greater than 100 MVA.s but less than 5 GVA.s?</t>
  </si>
  <si>
    <t>Pass = solution is within the size limits for inertia
Fail = solution is not within the size limits set for inertia</t>
  </si>
  <si>
    <r>
      <rPr>
        <sz val="11"/>
        <color rgb="FFCC00CC"/>
        <rFont val="Calibri"/>
        <family val="2"/>
        <scheme val="minor"/>
      </rPr>
      <t xml:space="preserve">V2 </t>
    </r>
    <r>
      <rPr>
        <sz val="11"/>
        <color rgb="FF000000"/>
        <rFont val="Calibri"/>
        <family val="2"/>
        <scheme val="minor"/>
      </rPr>
      <t>State yes/no and provide the size of the solution.</t>
    </r>
  </si>
  <si>
    <t>If the solution is GBGF-I, is the H-constant value below or equal to 25?</t>
  </si>
  <si>
    <r>
      <rPr>
        <sz val="11"/>
        <color rgb="FFCC00CC"/>
        <rFont val="Calibri"/>
        <family val="2"/>
        <scheme val="minor"/>
      </rPr>
      <t xml:space="preserve">V2 </t>
    </r>
    <r>
      <rPr>
        <sz val="11"/>
        <color rgb="FF000000"/>
        <rFont val="Calibri"/>
        <family val="2"/>
        <scheme val="minor"/>
      </rPr>
      <t xml:space="preserve">State yes/no and provide the H-Constant of the solution. </t>
    </r>
  </si>
  <si>
    <t>How does your inertia availability relate to your steady state active power and/or reactive power output?</t>
  </si>
  <si>
    <t>Does the provision of the inertia and SCL exceed the peak current rating of your solution?</t>
  </si>
  <si>
    <t>Can the solution provide an osccilation damping capability as stated in the technical specification? </t>
  </si>
  <si>
    <t>Pass = Yes with sufficient explanation of capability will be achieved
Fail = No,  or Yes with insufficient expalantion of capability</t>
  </si>
  <si>
    <t xml:space="preserve">Please explain how your solution meets the relevant Grid Forming requirements in ECC.6.3.19 </t>
  </si>
  <si>
    <t>Pass/Fail</t>
  </si>
  <si>
    <t xml:space="preserve">Pass = Yes with sufficient explanation or evidence of how the solution meets the relevant requirements in ECC.6.3.19
Fail = No, solution does not meet ECC.6.3.19; or Yes but there is insufficient explanation or evidence provided to demonstrate that the relevant requirements of ECC.6.3.19 are met </t>
  </si>
  <si>
    <r>
      <rPr>
        <sz val="11"/>
        <color rgb="FFCC00CC"/>
        <rFont val="Calibri"/>
        <family val="2"/>
        <scheme val="minor"/>
      </rPr>
      <t xml:space="preserve">V2 </t>
    </r>
    <r>
      <rPr>
        <sz val="11"/>
        <color rgb="FF000000"/>
        <rFont val="Calibri"/>
        <family val="2"/>
        <scheme val="minor"/>
      </rPr>
      <t xml:space="preserve">State yes/no and provide an explanation for your response, including an explanation for any limitations your solution might have. This answer should take the format of a full written answer, where any external documents that are referred to should be referenced clearly and concisely, with any relevant page numbers and sections clearly referenced. </t>
    </r>
  </si>
  <si>
    <t>For GBGF-I solutions does your solution have any Grid Following components? If so please explain the operation of these elements within your solution.</t>
  </si>
  <si>
    <t>Is your solution able to operate at Zero Short Circuit Level (ECC.6.3.19.4 (ii))</t>
  </si>
  <si>
    <r>
      <rPr>
        <sz val="11"/>
        <color rgb="FFCC00CC"/>
        <rFont val="Calibri"/>
        <family val="2"/>
        <scheme val="minor"/>
      </rPr>
      <t xml:space="preserve">V2 </t>
    </r>
    <r>
      <rPr>
        <sz val="11"/>
        <color rgb="FF000000"/>
        <rFont val="Calibri"/>
        <family val="2"/>
        <scheme val="minor"/>
      </rPr>
      <t xml:space="preserve">Free text, please provide a justifcation to your response. Where any external documents that are referred to should be referenced clearly and concisely, with any relevant page numbers and sections clearly referenced. </t>
    </r>
  </si>
  <si>
    <t>For GBGF-I solutions,  please explain your inverter characteristics, i.e. does the solution need to reserve inverter headroom, or is the inverter capable of overloading?</t>
  </si>
  <si>
    <t xml:space="preserve">For Information. We reserve the right to use the response to this question to inform scoring of other questions </t>
  </si>
  <si>
    <r>
      <rPr>
        <sz val="11"/>
        <color rgb="FFCC00CC"/>
        <rFont val="Calibri"/>
        <family val="2"/>
        <scheme val="minor"/>
      </rPr>
      <t xml:space="preserve">V2 </t>
    </r>
    <r>
      <rPr>
        <sz val="11"/>
        <rFont val="Calibri"/>
        <family val="2"/>
        <scheme val="minor"/>
      </rPr>
      <t>Please describe any dependencies for reserving headroom on you</t>
    </r>
    <r>
      <rPr>
        <sz val="11"/>
        <color rgb="FF000000"/>
        <rFont val="Calibri"/>
        <family val="2"/>
        <scheme val="minor"/>
      </rPr>
      <t xml:space="preserve">r inverter for the delivery of Inertia. Within your response please refer to your feasibility study and reference any relevant manufacturer data sheets. This answer should take the format of a full written answer, where any external documents that are referred to should be referenced clearly and concisely, with any relevant page numbers and sections clearly referenced. </t>
    </r>
  </si>
  <si>
    <r>
      <rPr>
        <sz val="11"/>
        <color rgb="FF000000"/>
        <rFont val="Calibri"/>
        <family val="2"/>
        <scheme val="minor"/>
      </rPr>
      <t xml:space="preserve">For GBGF-I solutions please describe the following:
</t>
    </r>
    <r>
      <rPr>
        <b/>
        <sz val="11"/>
        <color rgb="FF000000"/>
        <rFont val="Calibri"/>
        <family val="2"/>
        <scheme val="minor"/>
      </rPr>
      <t xml:space="preserve">- </t>
    </r>
    <r>
      <rPr>
        <sz val="11"/>
        <color rgb="FF000000"/>
        <rFont val="Calibri"/>
        <family val="2"/>
        <scheme val="minor"/>
      </rPr>
      <t>The operation of your technology
- How your solution can be represented as a voltage source behind a real physical impedance (ECC.6.3.19.3 (ii))
-The delivery of active power from your solution with reference to the Internal Voltage Source</t>
    </r>
  </si>
  <si>
    <t>Pass = Description meets ECC.6.3.19
Fail = Description does not meet ECC.6.3.19
Not Applicable = the solution is not GBGF-I</t>
  </si>
  <si>
    <r>
      <rPr>
        <sz val="11"/>
        <color rgb="FFCC00CC"/>
        <rFont val="Calibri"/>
        <family val="2"/>
        <scheme val="minor"/>
      </rPr>
      <t xml:space="preserve">V2 </t>
    </r>
    <r>
      <rPr>
        <sz val="11"/>
        <color rgb="FF000000"/>
        <rFont val="Calibri"/>
        <family val="2"/>
        <scheme val="minor"/>
      </rPr>
      <t xml:space="preserve">Describe the operation of the solution and it's representation as a voltage source behind a real physical impedance (Please include a circuit diagram). Responses should explain how the solution delivers active power with reference to it's internal voltage source. Please refer to any relevant manufacturer data sheets that will support this answer. It is expected that a circuit diagram is included as part of your answer. This answer should take the format of a full written answer, where any external documents that are referred to should be referenced clearly and concisely, with any relevant page numbers and sections clearly referenced. </t>
    </r>
  </si>
  <si>
    <t xml:space="preserve">Does your solution have an AC connection  to the main GB synchronous transmission system? </t>
  </si>
  <si>
    <t xml:space="preserve">Pass = Yes Fail = No </t>
  </si>
  <si>
    <t>Yes/No</t>
  </si>
  <si>
    <r>
      <rPr>
        <sz val="11"/>
        <color rgb="FFCC00CC"/>
        <rFont val="Calibri"/>
        <family val="2"/>
        <scheme val="minor"/>
      </rPr>
      <t xml:space="preserve">V2 </t>
    </r>
    <r>
      <rPr>
        <sz val="11"/>
        <color rgb="FF000000"/>
        <rFont val="Calibri"/>
        <family val="2"/>
        <scheme val="minor"/>
      </rPr>
      <t>Please confirm the type of connection design for your solution</t>
    </r>
  </si>
  <si>
    <r>
      <rPr>
        <b/>
        <sz val="11"/>
        <color rgb="FFCC00CC"/>
        <rFont val="Calibri"/>
        <family val="2"/>
        <scheme val="minor"/>
      </rPr>
      <t xml:space="preserve">V2 </t>
    </r>
    <r>
      <rPr>
        <b/>
        <sz val="11"/>
        <color rgb="FF000000"/>
        <rFont val="Calibri"/>
        <family val="2"/>
        <scheme val="minor"/>
      </rPr>
      <t xml:space="preserve">For Information
We reserve the right to use the response to this question to inform scoring of other questions </t>
    </r>
  </si>
  <si>
    <r>
      <rPr>
        <sz val="11"/>
        <color rgb="FFCC00CC"/>
        <rFont val="Calibri"/>
        <family val="2"/>
        <scheme val="minor"/>
      </rPr>
      <t xml:space="preserve">V2 </t>
    </r>
    <r>
      <rPr>
        <sz val="11"/>
        <color rgb="FF000000"/>
        <rFont val="Calibri"/>
        <family val="2"/>
        <scheme val="minor"/>
      </rPr>
      <t>Please list the connection type: E.g Grid Park . Please also state if the connection is non-firm</t>
    </r>
  </si>
  <si>
    <t>`</t>
  </si>
  <si>
    <t>Does the proposed solution meet the full technical specification? Are there any limitations with regards to meeting the technical requirements?</t>
  </si>
  <si>
    <t>Pass = Yes with sufficient demonstration of capability that solution meets technical specification throughout technical submission
Fail = No, the solution doesn't meet technical specification or there is insufficient demonstration that the solution meets the technical specification throughout the technical submission
NESO reserve the right to consider responses to all of the stability criteria questions in this proforma when scoring this question.</t>
  </si>
  <si>
    <t xml:space="preserve">State yes/no. Provide additional information of any limitations and mitigations.  </t>
  </si>
  <si>
    <t>Reserved Bay Questions</t>
  </si>
  <si>
    <t>Is the MW of your solution within the capacity stated for the site?</t>
  </si>
  <si>
    <t xml:space="preserve">Pass/Fail specific to solutions using reserved bays </t>
  </si>
  <si>
    <t>Pass = Yes with explanation to demonstrate the solution size is within the capacity stated for the site
Fail = The capacity is not within the capacity of the site, or there is insufficient explanation provided</t>
  </si>
  <si>
    <t>Yes/no. Please state your MW capacity and the capacity of the site. Please provide additional information if necessary</t>
  </si>
  <si>
    <t>Is the MVAr of your solution within the capacity stated for the site?</t>
  </si>
  <si>
    <t>Yes/no. Please state your Mvar capacity and the capacity of the site. Please provide additional information if necessary</t>
  </si>
  <si>
    <t>Are both the Sub-transient SCL (Sk") and the Transient SCL (Sk')  of the solutions within the values we have assumed for the reserved bay(s)?</t>
  </si>
  <si>
    <t>Pass = Yes* 
Fail = No</t>
  </si>
  <si>
    <t>Yes / No 
* Further checks will need to be carried out where Sk" and Sk' are within the limits but the X"/R is exceeded. Depending on findings the solution may be failed.</t>
  </si>
  <si>
    <t xml:space="preserve">Stacking due diligence </t>
  </si>
  <si>
    <t xml:space="preserve">If you intend to stack the Commercial Frequency Response  service, please explain how your solution will be able to stack this service without impacting the solution's ability to also provide the stability service </t>
  </si>
  <si>
    <t>Pass = sufficient explanation provided that the Commercial Frequency Response service could be stacked without impacting the ability to also provide the stability service
Fail = insufficient explanation provided to demonstrate that the Commercial Frequency Response service could be stacked without impacting the ability to also provide the stability service 
Not Applicable = bidder does not intend to stack the Commercial Frequency Response service</t>
  </si>
  <si>
    <t>Free text response</t>
  </si>
  <si>
    <t xml:space="preserve">If you intend to stack the Reserve service, please explain how your solution will be able to stack this service without impacting the solution's ability to also provide the stability service </t>
  </si>
  <si>
    <t>Pass = sufficient explanation provided that the Reserve service could be stacked without impacting the ability to also provide the stability service
Fail = insufficient explanation provided to demonstrate that the Reserve service could be stacked without impacting the ability to also provide the stability service 
Not Applicable = bidder does not intend to stack the Reserve service</t>
  </si>
  <si>
    <t xml:space="preserve">If you intend to stack the Reactive Power Service, please explain how your solution will be able to stack this service without impacting the solution's ability to also provide the stability service </t>
  </si>
  <si>
    <t>Pass = sufficient explanation provided that the Reactive Power service could be stacked without impacting the ability to also provide the stability service
Fail = insufficient explanation provided to demonstrate that the Reactive Power service could be stacked without impacting the ability to also provide the stability service 
Not Applicable = bidder does not intend to stack the Reactive Power service</t>
  </si>
  <si>
    <t>If you intend to stack the CMIS service, please explain how your solution will be able to stack the CMIS service on the basis of quick de-load capability (or an alternative capability) to maintain the stability service in the event the CMIS service is armed</t>
  </si>
  <si>
    <t>Pass = sufficient explanation provided that the CMIS service could be stacked without impacting the ability to also provide the stability service
Fail = insufficient explanation provided to demonstrate that the CMIS service could be stacked without impacting the ability to also provide the stability service 
Not Applicable = bidder does not intend to stack the CMIS service</t>
  </si>
  <si>
    <t xml:space="preserve">If you are an interconnector, have your underlying "Operational Procedures" been updated to allow provision of stability services in line with the stability technical specification? </t>
  </si>
  <si>
    <t>Pass = sufficient demonstration that the interconnector's underlying "Operational Procedures" have been updated and agreed to enable provision of the stability service 
Fail = insufficient evidence or demonstration that the interconnector's underlying "Operational Procedures" have been updated and agreed to enable the provision of the stability service
Not applicable = the solution is not an interconnector</t>
  </si>
  <si>
    <t xml:space="preserve">Section B: Stability Service Compliance Assessment - Feasibility Simulation </t>
  </si>
  <si>
    <r>
      <t xml:space="preserve">Tenderers are required to complete feasibility studies in line with the Feasibility StudyRequirements document, and submit a copy of the feasibility study report as part of this tender. 
Please answer each question below in relation to the feasibility study report.  Tenderers are requested to note the page number of the feasibility study report that corresponds to each question.
Tenderers are able to submit a number of solutions in line with the cap. Please use a separate column to respond for each solution. 
The number of solutions should not exceed the solution cap. 
</t>
    </r>
    <r>
      <rPr>
        <b/>
        <sz val="12"/>
        <color rgb="FF000000"/>
        <rFont val="Calibri"/>
        <family val="2"/>
        <scheme val="minor"/>
      </rPr>
      <t xml:space="preserve">Pass/Fail decisions for these questions will be determined based on both the answers to the questions below and what is demonstrated in the feasibility study report that is submitted. </t>
    </r>
  </si>
  <si>
    <t>Solution 6 - please add additional columns for additional solutions as required</t>
  </si>
  <si>
    <t>[Contracting Entity</t>
  </si>
  <si>
    <t>Category</t>
  </si>
  <si>
    <t>Question/Information required</t>
  </si>
  <si>
    <t>Response</t>
  </si>
  <si>
    <t>Page number</t>
  </si>
  <si>
    <t>General</t>
  </si>
  <si>
    <t>Are the technical study assumptions provided in the report?</t>
  </si>
  <si>
    <t>Yes, No</t>
  </si>
  <si>
    <t>Are all the parameters of the network up to the Grid Entry Point provided?</t>
  </si>
  <si>
    <t>Is the equivalent system modelled as per the impedance and X/R values from the Stability Connection Data Sheet</t>
  </si>
  <si>
    <t>What is the time step adopted in the simulations?</t>
  </si>
  <si>
    <t>Time step in milliseconds</t>
  </si>
  <si>
    <t>Are results recorded up to a period of reaching post fault steady state?</t>
  </si>
  <si>
    <t xml:space="preserve">Are voltage magnitude and angle at the Grid Entry Point recorded? </t>
  </si>
  <si>
    <t>Are total active current and reactive current from the solution at the Grid Entry Point recorded?</t>
  </si>
  <si>
    <t>Are active and reactive power from the solution at the Grid Entry Point recorded?</t>
  </si>
  <si>
    <t>Are solution terminal voltage angle and magnitude recorded?</t>
  </si>
  <si>
    <t>Are pre event conditions at the solution provided for all tests (voltage, total current, active current, reactive current, apparent power, active power and reactive power)?</t>
  </si>
  <si>
    <t>Are measurements dataset files regarding all results provided for all tests?</t>
  </si>
  <si>
    <t>Have model settings, transformer tap, and controller's parameters remained unchanged for all tests? If changes were made, has NESO agreed with these changes?</t>
  </si>
  <si>
    <t>Is the method to calculate RMS from EMT results clearly stated (Applicable for GBGF-I and Hybrid solutions only)?</t>
  </si>
  <si>
    <t>Has the MVAr range been provided in Table 2 of the feasibility study report template? Is this range compliant with the relevant section of ECC.6.3.2 and/or the technical specification.</t>
  </si>
  <si>
    <t>Have the tests been carried out using the correct operation points (Maximum active power import/export, Maximum reactive power import/export)</t>
  </si>
  <si>
    <t>Have LFSM and FSM been disabled during the tests?</t>
  </si>
  <si>
    <r>
      <rPr>
        <sz val="11"/>
        <color rgb="FFCC00CC"/>
        <rFont val="Calibri"/>
        <family val="2"/>
        <scheme val="minor"/>
      </rPr>
      <t xml:space="preserve">V3 </t>
    </r>
    <r>
      <rPr>
        <sz val="11"/>
        <color rgb="FF000000"/>
        <rFont val="Calibri"/>
        <family val="2"/>
        <scheme val="minor"/>
      </rPr>
      <t>If the solution is a part of a wider installation, has other plant that does not form part of the proposed solution been considered in the modelling correctly?</t>
    </r>
  </si>
  <si>
    <t>Yes, No, Not Applicable</t>
  </si>
  <si>
    <r>
      <rPr>
        <sz val="11"/>
        <color rgb="FFCC00CC"/>
        <rFont val="Calibri"/>
        <family val="2"/>
        <scheme val="minor"/>
      </rPr>
      <t xml:space="preserve">V3 </t>
    </r>
    <r>
      <rPr>
        <sz val="11"/>
        <color rgb="FF000000"/>
        <rFont val="Calibri"/>
        <family val="2"/>
        <scheme val="minor"/>
      </rPr>
      <t>If the solution is a part of a wider installation, are the results presented such that the other plant's performance can be observed for all tests?</t>
    </r>
  </si>
  <si>
    <r>
      <rPr>
        <sz val="11"/>
        <color rgb="FFCC00CC"/>
        <rFont val="Calibri"/>
        <family val="2"/>
        <scheme val="minor"/>
      </rPr>
      <t xml:space="preserve">V3 </t>
    </r>
    <r>
      <rPr>
        <sz val="11"/>
        <color rgb="FF000000"/>
        <rFont val="Calibri"/>
        <family val="2"/>
        <scheme val="minor"/>
      </rPr>
      <t>If the solution is a part of a wider installation, are the results presented such that the other plant's performance is subtracted from any provided quantities?</t>
    </r>
  </si>
  <si>
    <t>Test 1</t>
  </si>
  <si>
    <t>Is Test 1 performed for all MW/MVAr combinations (Steps 1-7)?</t>
  </si>
  <si>
    <t>What Step from Steps 1-7 has resulted in the lowest short circuit reactive current injection at the Grid Entry Point (worst case)?</t>
  </si>
  <si>
    <t>For information</t>
  </si>
  <si>
    <t>State the step number corresponding to the lowest short circuit current contribution</t>
  </si>
  <si>
    <t>Do Steps 1-7 results show a response time equal or lower than 5 ms?</t>
  </si>
  <si>
    <t>For GBGF-I, do Steps 1-7 results show the peak current being provided no later than 30 ms after the fault occurence?</t>
  </si>
  <si>
    <t>Has the solution tripped for Test 1?</t>
  </si>
  <si>
    <t xml:space="preserve">From Steps 1-7, what is the minimum RMS positive sequence reactive short circuit contribution at 40ms? </t>
  </si>
  <si>
    <t>For information
This will be applied during the economic assessment and contract</t>
  </si>
  <si>
    <t xml:space="preserve">State in kA 
</t>
  </si>
  <si>
    <t>Is the reactive/total fault current injected at the Grid Entry Point provided at Table 3 of the feasibility study report template?</t>
  </si>
  <si>
    <t>Is the fault current provided in Table 3 the positive sequence value at 40 ms after the fault?</t>
  </si>
  <si>
    <r>
      <rPr>
        <sz val="11"/>
        <color rgb="FFCC00CC"/>
        <rFont val="Calibri"/>
        <family val="2"/>
        <scheme val="minor"/>
      </rPr>
      <t>V2</t>
    </r>
    <r>
      <rPr>
        <sz val="11"/>
        <color rgb="FF000000"/>
        <rFont val="Calibri"/>
        <family val="2"/>
        <scheme val="minor"/>
      </rPr>
      <t xml:space="preserve"> Have steps 1-7 of Test 1 been completed correctly and are all required time-series plots included?</t>
    </r>
  </si>
  <si>
    <t>Yes,No</t>
  </si>
  <si>
    <t>Is Step 8a performed with the worst case condition from Steps 1-7?</t>
  </si>
  <si>
    <t>For Information</t>
  </si>
  <si>
    <t>Which reference node is considered for Step 8?</t>
  </si>
  <si>
    <t>State which reference node is considered</t>
  </si>
  <si>
    <t>Do the step 8 results show a response time equal or lower than 5 ms?</t>
  </si>
  <si>
    <t>Is the fault modelled in Step 8 as per the fault impedance provided by NESO?</t>
  </si>
  <si>
    <t>From Step 8a, what is the reactive RMS positive sequence fault current contribution at 40 ms for a remote fault at the reference locations?</t>
  </si>
  <si>
    <t>Is Step 8a performed with the worst case condition from Steps1-7?</t>
  </si>
  <si>
    <t>Which reference node is considered for Step 8a?</t>
  </si>
  <si>
    <t>Do the step 8a results show a response time equal or lower than 5 ms?</t>
  </si>
  <si>
    <t>Is the fault modelled in Step 8a as per the fault impedance provided by NESO?</t>
  </si>
  <si>
    <t>From Step 8b, what is the reactive RMS positive sequence fault current contribution at 40 ms for a remote fault at the reference locations?</t>
  </si>
  <si>
    <t>Is Step 8b performed with the worst case condition from Steps1-7?</t>
  </si>
  <si>
    <t>Which reference node is considered for Step 8b?</t>
  </si>
  <si>
    <t>Do the step 8b results show a response time equal or lower than 5 ms?</t>
  </si>
  <si>
    <t>Is the fault modelled in Step 8b as per the fault impedance provided by NESO?</t>
  </si>
  <si>
    <t>From Step 8c, what is the reactive RMS positive sequence fault current contribution at 40 ms for a remote fault at the reference locations?</t>
  </si>
  <si>
    <t>Is Step 8c performed with the worst case condition from Steps1-7?</t>
  </si>
  <si>
    <t>Which reference node is considered for Step 8c?</t>
  </si>
  <si>
    <t>Do the step 8c results show a response time equal or lower than 5 ms?</t>
  </si>
  <si>
    <t>Is the fault modelled in Step 8c as per the fault impedance provided by NESO?</t>
  </si>
  <si>
    <t>From Step 8d, what is the reactive RMS positive sequence fault current contribution at 40 ms for a remote fault at the reference locations?</t>
  </si>
  <si>
    <t>Is Step 8d performed with the worst case condition from Steps1-7?</t>
  </si>
  <si>
    <t>Which reference node is considered for Step 8d?</t>
  </si>
  <si>
    <t>Do the step 8d results show a response time equal or lower than 5 ms?</t>
  </si>
  <si>
    <t>Is the fault modelled in Step 8d as per the fault impedance provided by NESO?</t>
  </si>
  <si>
    <r>
      <rPr>
        <sz val="11"/>
        <color rgb="FFCC00CC"/>
        <rFont val="Calibri"/>
        <family val="2"/>
        <scheme val="minor"/>
      </rPr>
      <t>V2</t>
    </r>
    <r>
      <rPr>
        <sz val="11"/>
        <color rgb="FF000000"/>
        <rFont val="Calibri"/>
        <family val="2"/>
        <scheme val="minor"/>
      </rPr>
      <t xml:space="preserve"> Has Step 8 been completed correctly and are all required time-series plots included?</t>
    </r>
  </si>
  <si>
    <r>
      <rPr>
        <sz val="11"/>
        <color rgb="FFCC00CC"/>
        <rFont val="Calibri"/>
        <family val="2"/>
        <scheme val="minor"/>
      </rPr>
      <t>V2</t>
    </r>
    <r>
      <rPr>
        <sz val="11"/>
        <color rgb="FF000000"/>
        <rFont val="Calibri"/>
        <family val="2"/>
        <scheme val="minor"/>
      </rPr>
      <t xml:space="preserve"> Please provide an explanation of how the performance in Test 1 meets the requirements in the Technical Specification</t>
    </r>
  </si>
  <si>
    <t>Please provide an explanation of the performance</t>
  </si>
  <si>
    <t>Test 2</t>
  </si>
  <si>
    <t>Is Test 2 performed for all MW/MVAr combinations (1-8)?</t>
  </si>
  <si>
    <t>Is the inertia (MVA.s) value explained through calculations for Steps 1-8?</t>
  </si>
  <si>
    <t>Is the inertia (MVA.s) values computed for Steps 1-8 based on average power change during the event?</t>
  </si>
  <si>
    <t>Has the solution tripped or hit any limit for Steps 1-8?</t>
  </si>
  <si>
    <t>Is the reactive power range used for the simulation consistent with the data provided in Table 2.</t>
  </si>
  <si>
    <r>
      <rPr>
        <sz val="11"/>
        <color rgb="FFCC00CC"/>
        <rFont val="Calibri"/>
        <family val="2"/>
        <scheme val="minor"/>
      </rPr>
      <t xml:space="preserve">V2 </t>
    </r>
    <r>
      <rPr>
        <sz val="11"/>
        <color rgb="FF000000"/>
        <rFont val="Calibri"/>
        <family val="2"/>
        <scheme val="minor"/>
      </rPr>
      <t>Please explain the cause of any changes in the reactive power during the RoCoF events. Please comment on this performance with relation to part 4 of section 4.3 of the technical specification.</t>
    </r>
  </si>
  <si>
    <t>Does Step 1-9 results show a response time equal or lower than 5 ms? (Please provide a zoomed in graph of Step 9 showing this response time)</t>
  </si>
  <si>
    <t>Are inertia values computed for Steps 1-8 presented in Table 4 of the feasibility study report template?</t>
  </si>
  <si>
    <t>Is the minimum inertia value presented in Table 4 of the feasibility study report template?</t>
  </si>
  <si>
    <t>For GBGF-S, is the inertia value provided by the manufacturer presented?</t>
  </si>
  <si>
    <t>From Steps 1-8, what is the minimum inertia (MWs) value?</t>
  </si>
  <si>
    <t>State in MWs
Please provide evidence of the minimum inertia through the feasibility simulation (Test 2)</t>
  </si>
  <si>
    <t>What Step from Steps 1-8 has resulted in the lowest inertia at the Grid Entry Point or User System Entry Point?</t>
  </si>
  <si>
    <t>State the step number corresponding to the lowest inertia value (S# or I#)</t>
  </si>
  <si>
    <t>Is a Time Series plot of Test 10 Included?</t>
  </si>
  <si>
    <t>Is a Time Series plot of Test 11 Included?</t>
  </si>
  <si>
    <r>
      <rPr>
        <sz val="11"/>
        <color rgb="FFCC00CC"/>
        <rFont val="Calibri"/>
        <family val="2"/>
        <scheme val="minor"/>
      </rPr>
      <t xml:space="preserve">V2 </t>
    </r>
    <r>
      <rPr>
        <sz val="11"/>
        <color rgb="FF000000"/>
        <rFont val="Calibri"/>
        <family val="2"/>
        <scheme val="minor"/>
      </rPr>
      <t>Is a Time Series plot of Test 12 Included?</t>
    </r>
  </si>
  <si>
    <r>
      <rPr>
        <sz val="11"/>
        <color rgb="FFCC00CC"/>
        <rFont val="Calibri"/>
        <family val="2"/>
        <scheme val="minor"/>
      </rPr>
      <t xml:space="preserve">V2 </t>
    </r>
    <r>
      <rPr>
        <sz val="11"/>
        <color rgb="FF000000"/>
        <rFont val="Calibri"/>
        <family val="2"/>
        <scheme val="minor"/>
      </rPr>
      <t xml:space="preserve">Is a Time Series plot of Test 13 Included? </t>
    </r>
    <r>
      <rPr>
        <sz val="11"/>
        <color rgb="FFCC00CC"/>
        <rFont val="Calibri"/>
        <family val="2"/>
        <scheme val="minor"/>
      </rPr>
      <t xml:space="preserve">V4 </t>
    </r>
    <r>
      <rPr>
        <sz val="11"/>
        <color rgb="FF000000"/>
        <rFont val="Calibri"/>
        <family val="2"/>
        <scheme val="minor"/>
      </rPr>
      <t>Not Applicable for 0MW Solutions</t>
    </r>
  </si>
  <si>
    <r>
      <rPr>
        <b/>
        <sz val="11"/>
        <color rgb="FF000000"/>
        <rFont val="Calibri"/>
        <family val="2"/>
        <scheme val="minor"/>
      </rPr>
      <t xml:space="preserve"> </t>
    </r>
    <r>
      <rPr>
        <b/>
        <sz val="11"/>
        <color rgb="FFCC00CC"/>
        <rFont val="Calibri"/>
        <family val="2"/>
        <scheme val="minor"/>
      </rPr>
      <t>V4</t>
    </r>
    <r>
      <rPr>
        <b/>
        <sz val="11"/>
        <color rgb="FF000000"/>
        <rFont val="Calibri"/>
        <family val="2"/>
        <scheme val="minor"/>
      </rPr>
      <t xml:space="preserve"> Yes,No,Not Applicable</t>
    </r>
  </si>
  <si>
    <r>
      <rPr>
        <sz val="11"/>
        <color rgb="FFCC00CC"/>
        <rFont val="Calibri"/>
        <family val="2"/>
        <scheme val="minor"/>
      </rPr>
      <t xml:space="preserve">V2 </t>
    </r>
    <r>
      <rPr>
        <sz val="11"/>
        <color rgb="FF000000"/>
        <rFont val="Calibri"/>
        <family val="2"/>
        <scheme val="minor"/>
      </rPr>
      <t>Is a Time Series plot of Test 14 Included?</t>
    </r>
  </si>
  <si>
    <r>
      <rPr>
        <sz val="11"/>
        <color rgb="FFCC00CC"/>
        <rFont val="Calibri"/>
        <family val="2"/>
        <scheme val="minor"/>
      </rPr>
      <t xml:space="preserve">V2 </t>
    </r>
    <r>
      <rPr>
        <sz val="11"/>
        <color rgb="FF000000"/>
        <rFont val="Calibri"/>
        <family val="2"/>
        <scheme val="minor"/>
      </rPr>
      <t xml:space="preserve">Is a Time Series plot of Test 15 Included? </t>
    </r>
    <r>
      <rPr>
        <sz val="11"/>
        <color rgb="FFCC00CC"/>
        <rFont val="Calibri"/>
        <family val="2"/>
        <scheme val="minor"/>
      </rPr>
      <t xml:space="preserve">V4 </t>
    </r>
    <r>
      <rPr>
        <sz val="11"/>
        <color rgb="FF000000"/>
        <rFont val="Calibri"/>
        <family val="2"/>
        <scheme val="minor"/>
      </rPr>
      <t>Not Applicable for 0MW Solutions</t>
    </r>
  </si>
  <si>
    <r>
      <rPr>
        <b/>
        <sz val="11"/>
        <color rgb="FFCC00CC"/>
        <rFont val="Calibri"/>
        <family val="2"/>
        <scheme val="minor"/>
      </rPr>
      <t>V4</t>
    </r>
    <r>
      <rPr>
        <b/>
        <sz val="11"/>
        <color rgb="FF000000"/>
        <rFont val="Calibri"/>
        <family val="2"/>
        <scheme val="minor"/>
      </rPr>
      <t xml:space="preserve"> Yes,No,Not Applicable</t>
    </r>
  </si>
  <si>
    <r>
      <rPr>
        <sz val="11"/>
        <color rgb="FFCC00CC"/>
        <rFont val="Calibri"/>
        <family val="2"/>
        <scheme val="minor"/>
      </rPr>
      <t xml:space="preserve">V4 </t>
    </r>
    <r>
      <rPr>
        <sz val="11"/>
        <color rgb="FF000000"/>
        <rFont val="Calibri"/>
        <family val="2"/>
        <scheme val="minor"/>
      </rPr>
      <t>Have all the required Steps of Test 2 been completed correctly and are all required time-series plots included?</t>
    </r>
  </si>
  <si>
    <r>
      <rPr>
        <sz val="11"/>
        <color rgb="FFCC00CC"/>
        <rFont val="Calibri"/>
        <family val="2"/>
        <scheme val="minor"/>
      </rPr>
      <t xml:space="preserve">V2 </t>
    </r>
    <r>
      <rPr>
        <sz val="11"/>
        <color rgb="FF000000"/>
        <rFont val="Calibri"/>
        <family val="2"/>
        <scheme val="minor"/>
      </rPr>
      <t>Please provide an explanation of how the performance in Test 2 meets the requirements in the Technical Specification</t>
    </r>
  </si>
  <si>
    <t xml:space="preserve">Is the maximum number of repeated inertial responses that can be provided for successive frequency events of either +1Hz/s or -1Hz/s lasting for 1 second each without having to charge/discharge equal to 5 or more? </t>
  </si>
  <si>
    <t>For information, we reserve the right to use this in the scoring of other questions.</t>
  </si>
  <si>
    <t>Yes, No
If No, state the number of successive events</t>
  </si>
  <si>
    <t>Is the response of the plant compliant with the requirements of ECC.6.3.19?</t>
  </si>
  <si>
    <t>State Yes,No and provide an explanation for the response.</t>
  </si>
  <si>
    <t>Test 3</t>
  </si>
  <si>
    <t>Has the solution tripped or blocked for steps 1-4?</t>
  </si>
  <si>
    <t>Has the solution tripped or blocked for steps 5-6?</t>
  </si>
  <si>
    <r>
      <rPr>
        <sz val="11"/>
        <color rgb="FFCC00CC"/>
        <rFont val="Calibri"/>
        <family val="2"/>
        <scheme val="minor"/>
      </rPr>
      <t xml:space="preserve">V2 </t>
    </r>
    <r>
      <rPr>
        <sz val="11"/>
        <color rgb="FF000000"/>
        <rFont val="Calibri"/>
        <family val="2"/>
        <scheme val="minor"/>
      </rPr>
      <t>Has the solution tripped or blocked for steps 7-10?</t>
    </r>
  </si>
  <si>
    <r>
      <rPr>
        <sz val="11"/>
        <color rgb="FFCC00CC"/>
        <rFont val="Calibri"/>
        <family val="2"/>
        <scheme val="minor"/>
      </rPr>
      <t xml:space="preserve">V2 </t>
    </r>
    <r>
      <rPr>
        <sz val="11"/>
        <color rgb="FF000000"/>
        <rFont val="Calibri"/>
        <family val="2"/>
        <scheme val="minor"/>
      </rPr>
      <t>Has the solution tripped or blocked for steps 11-12?</t>
    </r>
  </si>
  <si>
    <r>
      <rPr>
        <sz val="11"/>
        <color rgb="FFCC00CC"/>
        <rFont val="Calibri"/>
        <family val="2"/>
        <scheme val="minor"/>
      </rPr>
      <t xml:space="preserve">V2 </t>
    </r>
    <r>
      <rPr>
        <sz val="11"/>
        <color rgb="FF000000"/>
        <rFont val="Calibri"/>
        <family val="2"/>
        <scheme val="minor"/>
      </rPr>
      <t>Has the solution tripped or blocked for steps 13-16?</t>
    </r>
  </si>
  <si>
    <r>
      <rPr>
        <sz val="11"/>
        <color rgb="FFCC00CC"/>
        <rFont val="Calibri"/>
        <family val="2"/>
        <scheme val="minor"/>
      </rPr>
      <t xml:space="preserve">V2 </t>
    </r>
    <r>
      <rPr>
        <sz val="11"/>
        <color rgb="FF000000"/>
        <rFont val="Calibri"/>
        <family val="2"/>
        <scheme val="minor"/>
      </rPr>
      <t>Has the solution tripped or blocked for steps 17-18?</t>
    </r>
  </si>
  <si>
    <r>
      <rPr>
        <sz val="11"/>
        <color rgb="FFCC00CC"/>
        <rFont val="Calibri"/>
        <family val="2"/>
        <scheme val="minor"/>
      </rPr>
      <t xml:space="preserve">V2 </t>
    </r>
    <r>
      <rPr>
        <sz val="11"/>
        <color rgb="FF000000"/>
        <rFont val="Calibri"/>
        <family val="2"/>
        <scheme val="minor"/>
      </rPr>
      <t>Has the solution tripped or blocked for steps 19-22?</t>
    </r>
  </si>
  <si>
    <r>
      <rPr>
        <sz val="11"/>
        <color rgb="FFCC00CC"/>
        <rFont val="Calibri"/>
        <family val="2"/>
        <scheme val="minor"/>
      </rPr>
      <t xml:space="preserve">V2 </t>
    </r>
    <r>
      <rPr>
        <sz val="11"/>
        <color rgb="FF000000"/>
        <rFont val="Calibri"/>
        <family val="2"/>
        <scheme val="minor"/>
      </rPr>
      <t>Has the solution tripped or blocked for steps 23-24?</t>
    </r>
  </si>
  <si>
    <r>
      <rPr>
        <sz val="11"/>
        <color rgb="FFCC00CC"/>
        <rFont val="Calibri"/>
        <family val="2"/>
        <scheme val="minor"/>
      </rPr>
      <t xml:space="preserve">V2 </t>
    </r>
    <r>
      <rPr>
        <sz val="11"/>
        <color rgb="FF000000"/>
        <rFont val="Calibri"/>
        <family val="2"/>
        <scheme val="minor"/>
      </rPr>
      <t>Have Steps 1-24 of Test 3 been completed correctly and are all required time-series plots included?</t>
    </r>
  </si>
  <si>
    <r>
      <rPr>
        <sz val="11"/>
        <color rgb="FFCC00CC"/>
        <rFont val="Calibri"/>
        <family val="2"/>
        <scheme val="minor"/>
      </rPr>
      <t xml:space="preserve">V2 </t>
    </r>
    <r>
      <rPr>
        <sz val="11"/>
        <color rgb="FF000000"/>
        <rFont val="Calibri"/>
        <family val="2"/>
        <scheme val="minor"/>
      </rPr>
      <t>Is an explanation of the performance of the plant provided? Noting this must include an explanation of how any limiters are implemented.</t>
    </r>
  </si>
  <si>
    <r>
      <rPr>
        <sz val="11"/>
        <color rgb="FFCC00CC"/>
        <rFont val="Calibri"/>
        <family val="2"/>
        <scheme val="minor"/>
      </rPr>
      <t xml:space="preserve">V2 </t>
    </r>
    <r>
      <rPr>
        <sz val="11"/>
        <color rgb="FF000000"/>
        <rFont val="Calibri"/>
        <family val="2"/>
        <scheme val="minor"/>
      </rPr>
      <t>Please provide an explanation of how the performance in Test 3 meets the requirements in the Technical Specification</t>
    </r>
  </si>
  <si>
    <t>Is the test summary provided in Table 5 of the feasibility study report template?</t>
  </si>
  <si>
    <t>Is the response of the plant inherent, providing a response within 5ms?</t>
  </si>
  <si>
    <t>DRC Data required for Long-Term 2029</t>
  </si>
  <si>
    <t>The data is required for each solution that has been proposed in the tender even if it has an existing connection.</t>
  </si>
  <si>
    <t>The data needs to be provided in excel format. Use the link below for a previous DRC tool that bidders can use to enable submission of DRC Data:</t>
  </si>
  <si>
    <t>Download DRC Tool</t>
  </si>
  <si>
    <t xml:space="preserve">Unless any data entry states "No" in the field titled 'Essential at the application stage' , the data within the DRC form is required. </t>
  </si>
  <si>
    <t>The data must be provided based on technology type e.g. synchronous machine data needs to filled for synchronous compensators.</t>
  </si>
  <si>
    <r>
      <rPr>
        <b/>
        <sz val="11"/>
        <color rgb="FF000000"/>
        <rFont val="Calibri"/>
        <family val="2"/>
        <scheme val="minor"/>
      </rPr>
      <t>Note</t>
    </r>
    <r>
      <rPr>
        <sz val="11"/>
        <color rgb="FF000000"/>
        <rFont val="Calibri"/>
        <family val="2"/>
        <scheme val="minor"/>
      </rPr>
      <t xml:space="preserve">: NESO are in the process of upgrading how DRC data should be provided as part of the connections process (see here https://www.neso.energy/industry-information/connections/drc-generator-portal#Introduction-to-DRC ) for the purpose of this tender however, please return DRC in an excel spreadsheet based on the above tool. </t>
    </r>
  </si>
  <si>
    <t xml:space="preserve">Submission format </t>
  </si>
  <si>
    <t>This is to be provided as part of the technical submission. NESO recommend submitting a master DRC zip folder, including a DRC datasheet document for each proposed solution</t>
  </si>
  <si>
    <t>Please name each DRC data file in accordance with the solution references used through this document e.g. [Company Name]-Bid1</t>
  </si>
  <si>
    <t xml:space="preserve">Useful links to fill DRC data: </t>
  </si>
  <si>
    <t>https://www.neso.energy/document/34021/download</t>
  </si>
  <si>
    <t xml:space="preserve">This data will not be scored or assessed directly but may be used to inform NESO's understanding of solution capability and scoring of other tender criteria. </t>
  </si>
  <si>
    <t>Updated version during the ITT Stage to provide clarity on the stability feasibility simulation requirements for 0MW 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</si>
</sst>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4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4"/>
      <color theme="1"/>
      <name val="Calibri"/>
      <family val="2"/>
      <scheme val="minor"/>
    </font>
    <font>
      <b/>
      <sz val="11"/>
      <color rgb="FF000000"/>
      <name val="Calibri"/>
      <family val="2"/>
      <scheme val="minor"/>
    </font>
    <font>
      <b/>
      <sz val="11"/>
      <color rgb="FFFF0000"/>
      <name val="Calibri"/>
      <family val="2"/>
      <scheme val="minor"/>
    </font>
    <font>
      <i/>
      <sz val="11"/>
      <color theme="1"/>
      <name val="Calibri"/>
      <family val="2"/>
      <scheme val="minor"/>
    </font>
    <font>
      <sz val="11"/>
      <name val="Calibri"/>
      <family val="2"/>
      <scheme val="minor"/>
    </font>
    <font>
      <b/>
      <sz val="11"/>
      <name val="Calibri"/>
      <family val="2"/>
      <scheme val="minor"/>
    </font>
    <font>
      <sz val="11"/>
      <color rgb="FF000000"/>
      <name val="Calibri"/>
      <family val="2"/>
      <scheme val="minor"/>
    </font>
    <font>
      <b/>
      <sz val="11"/>
      <color rgb="FFFFFFFF"/>
      <name val="Calibri"/>
      <family val="2"/>
      <scheme val="minor"/>
    </font>
    <font>
      <sz val="11"/>
      <color theme="1"/>
      <name val="Calibri"/>
      <family val="2"/>
      <scheme val="minor"/>
    </font>
    <font>
      <sz val="11"/>
      <color theme="1"/>
      <name val="Calibri"/>
      <family val="2"/>
    </font>
    <font>
      <u/>
      <sz val="11"/>
      <color theme="10"/>
      <name val="Calibri"/>
      <family val="2"/>
      <scheme val="minor"/>
    </font>
    <font>
      <b/>
      <u/>
      <sz val="24"/>
      <color rgb="FF7A3864"/>
      <name val="Arial"/>
      <family val="2"/>
    </font>
    <font>
      <b/>
      <sz val="14"/>
      <color theme="0"/>
      <name val="Calibri"/>
      <family val="2"/>
    </font>
    <font>
      <sz val="14"/>
      <color theme="1"/>
      <name val="Calibri"/>
      <family val="2"/>
    </font>
    <font>
      <sz val="10"/>
      <color theme="0"/>
      <name val="Arial"/>
      <family val="2"/>
    </font>
    <font>
      <sz val="11"/>
      <color theme="1"/>
      <name val="Arial"/>
      <family val="2"/>
    </font>
    <font>
      <b/>
      <sz val="18"/>
      <color rgb="FF7A3864"/>
      <name val="Arial"/>
      <family val="2"/>
    </font>
    <font>
      <sz val="18"/>
      <name val="Arial"/>
      <family val="2"/>
    </font>
    <font>
      <b/>
      <sz val="11"/>
      <color theme="1"/>
      <name val="Arial"/>
      <family val="2"/>
    </font>
    <font>
      <b/>
      <sz val="11"/>
      <color rgb="FFFF0000"/>
      <name val="Arial"/>
      <family val="2"/>
    </font>
    <font>
      <b/>
      <sz val="14"/>
      <color rgb="FF7A3864"/>
      <name val="Arial"/>
      <family val="2"/>
    </font>
    <font>
      <b/>
      <sz val="11"/>
      <color rgb="FF7A3864"/>
      <name val="Arial"/>
      <family val="2"/>
    </font>
    <font>
      <b/>
      <sz val="10"/>
      <color theme="0"/>
      <name val="Arial"/>
      <family val="2"/>
    </font>
    <font>
      <sz val="9"/>
      <name val="Arial"/>
      <family val="2"/>
    </font>
    <font>
      <b/>
      <sz val="12"/>
      <color theme="0"/>
      <name val="Arial"/>
      <family val="2"/>
    </font>
    <font>
      <b/>
      <sz val="10"/>
      <name val="Arial"/>
      <family val="2"/>
    </font>
    <font>
      <b/>
      <sz val="11"/>
      <name val="Arial"/>
      <family val="2"/>
    </font>
    <font>
      <sz val="11"/>
      <name val="Arial"/>
      <family val="2"/>
    </font>
    <font>
      <b/>
      <sz val="14"/>
      <color theme="0"/>
      <name val="Arial"/>
      <family val="2"/>
    </font>
    <font>
      <b/>
      <sz val="20"/>
      <color theme="0"/>
      <name val="Arial"/>
      <family val="2"/>
    </font>
    <font>
      <sz val="8"/>
      <name val="Calibri"/>
      <family val="2"/>
      <scheme val="minor"/>
    </font>
    <font>
      <sz val="11"/>
      <color rgb="FFFFC000"/>
      <name val="Calibri"/>
      <family val="2"/>
      <scheme val="minor"/>
    </font>
    <font>
      <b/>
      <sz val="11"/>
      <color rgb="FF000000"/>
      <name val="Arial"/>
      <family val="2"/>
    </font>
    <font>
      <sz val="11"/>
      <color rgb="FF000000"/>
      <name val="Arial"/>
      <family val="2"/>
    </font>
    <font>
      <sz val="12"/>
      <color theme="1"/>
      <name val="Calibri"/>
      <family val="2"/>
      <scheme val="minor"/>
    </font>
    <font>
      <b/>
      <sz val="11"/>
      <color rgb="FF000000"/>
      <name val="Calibri"/>
      <family val="2"/>
      <scheme val="minor"/>
    </font>
    <font>
      <sz val="11"/>
      <color rgb="FF000000"/>
      <name val="Calibri"/>
      <family val="2"/>
      <scheme val="minor"/>
    </font>
    <font>
      <sz val="14"/>
      <name val="Calibri"/>
      <family val="2"/>
    </font>
    <font>
      <b/>
      <sz val="12"/>
      <color rgb="FF000000"/>
      <name val="Calibri"/>
      <family val="2"/>
      <scheme val="minor"/>
    </font>
    <font>
      <sz val="11"/>
      <color rgb="FFCC00CC"/>
      <name val="Calibri"/>
      <family val="2"/>
      <scheme val="minor"/>
    </font>
    <font>
      <sz val="10"/>
      <color theme="1"/>
      <name val="Calibri"/>
      <family val="2"/>
      <scheme val="minor"/>
    </font>
    <font>
      <sz val="14"/>
      <name val="Calibri"/>
      <family val="2"/>
    </font>
    <font>
      <sz val="11"/>
      <name val="Calibri"/>
      <family val="2"/>
      <scheme val="minor"/>
    </font>
    <font>
      <b/>
      <sz val="11"/>
      <color rgb="FFCC00CC"/>
      <name val="Calibri"/>
      <family val="2"/>
      <scheme val="minor"/>
    </font>
    <font>
      <sz val="12"/>
      <color rgb="FF000000"/>
      <name val="Calibri"/>
      <family val="2"/>
      <scheme val="minor"/>
    </font>
  </fonts>
  <fills count="11">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rgb="FFFCE4D6"/>
        <bgColor indexed="64"/>
      </patternFill>
    </fill>
    <fill>
      <patternFill patternType="solid">
        <fgColor theme="0"/>
        <bgColor indexed="64"/>
      </patternFill>
    </fill>
    <fill>
      <patternFill patternType="solid">
        <fgColor rgb="FF7A3864"/>
        <bgColor indexed="64"/>
      </patternFill>
    </fill>
    <fill>
      <patternFill patternType="solid">
        <fgColor rgb="FFF2EBF0"/>
        <bgColor indexed="64"/>
      </patternFill>
    </fill>
    <fill>
      <patternFill patternType="solid">
        <fgColor rgb="FF7A3864"/>
        <bgColor rgb="FF000000"/>
      </patternFill>
    </fill>
    <fill>
      <patternFill patternType="solid">
        <fgColor rgb="FFF2EBF0"/>
        <bgColor rgb="FF000000"/>
      </patternFill>
    </fill>
    <fill>
      <patternFill patternType="solid">
        <fgColor theme="4" tint="0.79998168889431442"/>
        <bgColor indexed="64"/>
      </patternFill>
    </fill>
  </fills>
  <borders count="13">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right style="thin">
        <color rgb="FF000000"/>
      </right>
      <top style="thin">
        <color indexed="64"/>
      </top>
      <bottom style="thin">
        <color indexed="64"/>
      </bottom>
      <diagonal/>
    </border>
  </borders>
  <cellStyleXfs count="4">
    <xf numFmtId="0" fontId="0" fillId="0" borderId="0"/>
    <xf numFmtId="0" fontId="14" fillId="0" borderId="0" applyNumberFormat="0" applyFill="0" applyBorder="0" applyAlignment="0" applyProtection="0"/>
    <xf numFmtId="0" fontId="12" fillId="0" borderId="0"/>
    <xf numFmtId="0" fontId="12" fillId="0" borderId="0"/>
  </cellStyleXfs>
  <cellXfs count="147">
    <xf numFmtId="0" fontId="0" fillId="0" borderId="0" xfId="0"/>
    <xf numFmtId="0" fontId="0" fillId="2" borderId="0" xfId="0" applyFill="1"/>
    <xf numFmtId="0" fontId="6" fillId="3" borderId="3" xfId="0" applyFont="1" applyFill="1" applyBorder="1" applyAlignment="1" applyProtection="1">
      <alignment horizontal="center" wrapText="1"/>
      <protection locked="0"/>
    </xf>
    <xf numFmtId="0" fontId="0" fillId="3" borderId="7" xfId="0" applyFill="1" applyBorder="1" applyAlignment="1" applyProtection="1">
      <alignment horizontal="center" wrapText="1"/>
      <protection locked="0"/>
    </xf>
    <xf numFmtId="0" fontId="0" fillId="3" borderId="7" xfId="0" applyFill="1" applyBorder="1" applyAlignment="1" applyProtection="1">
      <alignment wrapText="1"/>
      <protection locked="0"/>
    </xf>
    <xf numFmtId="0" fontId="0" fillId="3" borderId="7" xfId="0" applyFill="1" applyBorder="1" applyAlignment="1" applyProtection="1">
      <alignment horizontal="center"/>
      <protection locked="0"/>
    </xf>
    <xf numFmtId="0" fontId="0" fillId="4" borderId="0" xfId="0" applyFill="1"/>
    <xf numFmtId="0" fontId="15" fillId="5" borderId="0" xfId="0" applyFont="1" applyFill="1"/>
    <xf numFmtId="0" fontId="13" fillId="5" borderId="0" xfId="0" applyFont="1" applyFill="1"/>
    <xf numFmtId="0" fontId="0" fillId="5" borderId="0" xfId="0" applyFill="1"/>
    <xf numFmtId="0" fontId="13" fillId="2" borderId="0" xfId="0" applyFont="1" applyFill="1"/>
    <xf numFmtId="0" fontId="19" fillId="5" borderId="0" xfId="0" applyFont="1" applyFill="1"/>
    <xf numFmtId="0" fontId="19" fillId="0" borderId="0" xfId="0" applyFont="1"/>
    <xf numFmtId="0" fontId="0" fillId="0" borderId="0" xfId="0" applyProtection="1">
      <protection locked="0"/>
    </xf>
    <xf numFmtId="0" fontId="0" fillId="5" borderId="0" xfId="0" applyFill="1" applyProtection="1">
      <protection locked="0"/>
    </xf>
    <xf numFmtId="0" fontId="0" fillId="5" borderId="0" xfId="0" applyFill="1" applyAlignment="1" applyProtection="1">
      <alignment wrapText="1"/>
      <protection locked="0"/>
    </xf>
    <xf numFmtId="0" fontId="3" fillId="5" borderId="0" xfId="0" applyFont="1" applyFill="1"/>
    <xf numFmtId="0" fontId="14" fillId="5" borderId="0" xfId="1" applyFill="1"/>
    <xf numFmtId="0" fontId="0" fillId="5" borderId="0" xfId="0" applyFill="1" applyAlignment="1">
      <alignment vertical="center" wrapText="1"/>
    </xf>
    <xf numFmtId="0" fontId="0" fillId="3" borderId="9" xfId="0" applyFill="1" applyBorder="1" applyAlignment="1" applyProtection="1">
      <alignment horizontal="center" wrapText="1"/>
      <protection locked="0"/>
    </xf>
    <xf numFmtId="0" fontId="2" fillId="6" borderId="10" xfId="0" applyFont="1" applyFill="1" applyBorder="1" applyAlignment="1" applyProtection="1">
      <alignment horizontal="center" wrapText="1"/>
      <protection locked="0"/>
    </xf>
    <xf numFmtId="0" fontId="0" fillId="3" borderId="7" xfId="0" applyFill="1" applyBorder="1" applyAlignment="1" applyProtection="1">
      <alignment horizontal="center" vertical="top" wrapText="1"/>
      <protection locked="0"/>
    </xf>
    <xf numFmtId="0" fontId="0" fillId="3" borderId="7" xfId="0" applyFill="1" applyBorder="1" applyAlignment="1" applyProtection="1">
      <alignment vertical="top" wrapText="1"/>
      <protection locked="0"/>
    </xf>
    <xf numFmtId="0" fontId="0" fillId="5" borderId="0" xfId="0" applyFill="1" applyAlignment="1" applyProtection="1">
      <alignment vertical="top"/>
      <protection locked="0"/>
    </xf>
    <xf numFmtId="0" fontId="2" fillId="6" borderId="7" xfId="0" applyFont="1" applyFill="1" applyBorder="1" applyAlignment="1" applyProtection="1">
      <alignment horizontal="center" wrapText="1"/>
      <protection locked="0"/>
    </xf>
    <xf numFmtId="0" fontId="0" fillId="6" borderId="7" xfId="0" applyFill="1" applyBorder="1" applyProtection="1">
      <protection locked="0"/>
    </xf>
    <xf numFmtId="0" fontId="0" fillId="5" borderId="0" xfId="0" applyFill="1" applyAlignment="1">
      <alignment horizontal="left" wrapText="1"/>
    </xf>
    <xf numFmtId="0" fontId="18" fillId="7" borderId="0" xfId="0" applyFont="1" applyFill="1"/>
    <xf numFmtId="0" fontId="19" fillId="7" borderId="0" xfId="0" applyFont="1" applyFill="1"/>
    <xf numFmtId="0" fontId="15" fillId="7" borderId="0" xfId="0" applyFont="1" applyFill="1" applyAlignment="1">
      <alignment horizontal="left"/>
    </xf>
    <xf numFmtId="0" fontId="20" fillId="7" borderId="0" xfId="0" applyFont="1" applyFill="1" applyAlignment="1">
      <alignment vertical="center"/>
    </xf>
    <xf numFmtId="0" fontId="21" fillId="7" borderId="0" xfId="0" applyFont="1" applyFill="1"/>
    <xf numFmtId="0" fontId="22" fillId="7" borderId="0" xfId="0" applyFont="1" applyFill="1"/>
    <xf numFmtId="0" fontId="23" fillId="7" borderId="0" xfId="0" applyFont="1" applyFill="1"/>
    <xf numFmtId="0" fontId="24" fillId="7" borderId="0" xfId="0" applyFont="1" applyFill="1" applyAlignment="1">
      <alignment vertical="center"/>
    </xf>
    <xf numFmtId="0" fontId="25" fillId="7" borderId="0" xfId="0" applyFont="1" applyFill="1" applyAlignment="1">
      <alignment vertical="center"/>
    </xf>
    <xf numFmtId="0" fontId="19" fillId="7" borderId="0" xfId="0" applyFont="1" applyFill="1" applyAlignment="1">
      <alignment horizontal="left" wrapText="1"/>
    </xf>
    <xf numFmtId="0" fontId="3" fillId="7" borderId="0" xfId="2" applyFont="1" applyFill="1"/>
    <xf numFmtId="0" fontId="12" fillId="7" borderId="0" xfId="2" applyFill="1"/>
    <xf numFmtId="0" fontId="12" fillId="7" borderId="0" xfId="2" applyFill="1" applyAlignment="1">
      <alignment wrapText="1"/>
    </xf>
    <xf numFmtId="0" fontId="27" fillId="5" borderId="3" xfId="0" applyFont="1" applyFill="1" applyBorder="1" applyAlignment="1" applyProtection="1">
      <alignment horizontal="left" vertical="center" wrapText="1"/>
      <protection locked="0"/>
    </xf>
    <xf numFmtId="0" fontId="3" fillId="0" borderId="0" xfId="0" applyFont="1"/>
    <xf numFmtId="0" fontId="0" fillId="0" borderId="0" xfId="0" applyAlignment="1">
      <alignment horizontal="left" vertical="center" wrapText="1"/>
    </xf>
    <xf numFmtId="0" fontId="4" fillId="0" borderId="0" xfId="0" applyFont="1" applyAlignment="1">
      <alignment wrapText="1"/>
    </xf>
    <xf numFmtId="0" fontId="26" fillId="6" borderId="5" xfId="0" applyFont="1" applyFill="1" applyBorder="1" applyAlignment="1">
      <alignment horizontal="center" wrapText="1"/>
    </xf>
    <xf numFmtId="0" fontId="5" fillId="7" borderId="2" xfId="0" applyFont="1" applyFill="1" applyBorder="1" applyAlignment="1">
      <alignment horizontal="left" vertical="center"/>
    </xf>
    <xf numFmtId="0" fontId="2" fillId="7" borderId="4" xfId="0" applyFont="1" applyFill="1" applyBorder="1" applyAlignment="1">
      <alignment horizontal="left" vertical="center" wrapText="1"/>
    </xf>
    <xf numFmtId="0" fontId="0" fillId="0" borderId="0" xfId="0" applyAlignment="1">
      <alignment wrapText="1"/>
    </xf>
    <xf numFmtId="0" fontId="2" fillId="6" borderId="7" xfId="0" applyFont="1" applyFill="1" applyBorder="1" applyAlignment="1">
      <alignment horizontal="center" vertical="center"/>
    </xf>
    <xf numFmtId="0" fontId="8" fillId="7" borderId="7" xfId="0" applyFont="1" applyFill="1" applyBorder="1" applyAlignment="1">
      <alignment horizontal="left" vertical="center" wrapText="1"/>
    </xf>
    <xf numFmtId="0" fontId="9" fillId="7" borderId="7" xfId="0" applyFont="1" applyFill="1" applyBorder="1" applyAlignment="1">
      <alignment horizontal="center" vertical="center" wrapText="1"/>
    </xf>
    <xf numFmtId="0" fontId="8" fillId="7" borderId="5" xfId="0" applyFont="1" applyFill="1" applyBorder="1" applyAlignment="1">
      <alignment horizontal="left" vertical="center" wrapText="1"/>
    </xf>
    <xf numFmtId="0" fontId="9" fillId="9" borderId="7" xfId="0" applyFont="1" applyFill="1" applyBorder="1" applyAlignment="1">
      <alignment horizontal="center" vertical="center" wrapText="1"/>
    </xf>
    <xf numFmtId="0" fontId="8" fillId="9" borderId="8" xfId="0" applyFont="1" applyFill="1" applyBorder="1" applyAlignment="1">
      <alignment horizontal="left" vertical="center" wrapText="1"/>
    </xf>
    <xf numFmtId="0" fontId="8" fillId="7" borderId="8" xfId="0" applyFont="1" applyFill="1" applyBorder="1" applyAlignment="1">
      <alignment horizontal="left" vertical="center" wrapText="1"/>
    </xf>
    <xf numFmtId="0" fontId="0" fillId="7" borderId="7" xfId="0" applyFill="1" applyBorder="1" applyAlignment="1">
      <alignment horizontal="left" vertical="center" wrapText="1"/>
    </xf>
    <xf numFmtId="0" fontId="9" fillId="7" borderId="5" xfId="0" applyFont="1" applyFill="1" applyBorder="1" applyAlignment="1">
      <alignment horizontal="left" vertical="center" wrapText="1"/>
    </xf>
    <xf numFmtId="0" fontId="10" fillId="7" borderId="7" xfId="0" applyFont="1" applyFill="1" applyBorder="1" applyAlignment="1">
      <alignment horizontal="left" vertical="center" wrapText="1"/>
    </xf>
    <xf numFmtId="0" fontId="2" fillId="6" borderId="6" xfId="0" applyFont="1" applyFill="1" applyBorder="1" applyAlignment="1">
      <alignment horizontal="left" vertical="center" wrapText="1"/>
    </xf>
    <xf numFmtId="0" fontId="3" fillId="7" borderId="7" xfId="0" applyFont="1" applyFill="1" applyBorder="1" applyAlignment="1">
      <alignment horizontal="center" vertical="center" wrapText="1"/>
    </xf>
    <xf numFmtId="0" fontId="2" fillId="6" borderId="4" xfId="0" applyFont="1" applyFill="1" applyBorder="1"/>
    <xf numFmtId="0" fontId="2" fillId="6" borderId="4" xfId="0" applyFont="1" applyFill="1" applyBorder="1" applyAlignment="1">
      <alignment horizontal="left" vertical="center" wrapText="1"/>
    </xf>
    <xf numFmtId="0" fontId="0" fillId="6" borderId="0" xfId="0" applyFill="1"/>
    <xf numFmtId="0" fontId="0" fillId="6" borderId="1" xfId="0" applyFill="1" applyBorder="1"/>
    <xf numFmtId="0" fontId="0" fillId="5" borderId="0" xfId="0" applyFill="1" applyAlignment="1">
      <alignment horizontal="left" vertical="center" wrapText="1"/>
    </xf>
    <xf numFmtId="0" fontId="7" fillId="10" borderId="7" xfId="0" applyFont="1" applyFill="1" applyBorder="1" applyAlignment="1" applyProtection="1">
      <alignment vertical="top"/>
      <protection locked="0"/>
    </xf>
    <xf numFmtId="0" fontId="26" fillId="6" borderId="5" xfId="0" applyFont="1" applyFill="1" applyBorder="1" applyAlignment="1" applyProtection="1">
      <alignment horizontal="center" wrapText="1"/>
      <protection locked="0"/>
    </xf>
    <xf numFmtId="0" fontId="0" fillId="5" borderId="0" xfId="0" applyFill="1" applyAlignment="1">
      <alignment horizontal="center" wrapText="1"/>
    </xf>
    <xf numFmtId="0" fontId="0" fillId="5" borderId="0" xfId="0" applyFill="1" applyAlignment="1">
      <alignment horizontal="center" vertical="top" wrapText="1"/>
    </xf>
    <xf numFmtId="0" fontId="0" fillId="5" borderId="0" xfId="0" applyFill="1" applyAlignment="1">
      <alignment horizontal="center"/>
    </xf>
    <xf numFmtId="0" fontId="0" fillId="5" borderId="0" xfId="0" applyFill="1" applyAlignment="1">
      <alignment horizontal="left"/>
    </xf>
    <xf numFmtId="0" fontId="26" fillId="6" borderId="5" xfId="0" applyFont="1" applyFill="1" applyBorder="1" applyAlignment="1">
      <alignment horizontal="left" wrapText="1"/>
    </xf>
    <xf numFmtId="0" fontId="0" fillId="7" borderId="7" xfId="0" applyFill="1" applyBorder="1" applyAlignment="1">
      <alignment horizontal="left" vertical="center"/>
    </xf>
    <xf numFmtId="0" fontId="0" fillId="7" borderId="7" xfId="0" applyFill="1" applyBorder="1" applyAlignment="1">
      <alignment horizontal="left" wrapText="1"/>
    </xf>
    <xf numFmtId="0" fontId="10" fillId="7" borderId="7" xfId="0" applyFont="1" applyFill="1" applyBorder="1" applyAlignment="1">
      <alignment horizontal="left" vertical="center"/>
    </xf>
    <xf numFmtId="0" fontId="10" fillId="7" borderId="7" xfId="0" applyFont="1" applyFill="1" applyBorder="1" applyAlignment="1">
      <alignment horizontal="left" wrapText="1"/>
    </xf>
    <xf numFmtId="0" fontId="5" fillId="7" borderId="7" xfId="0" applyFont="1" applyFill="1" applyBorder="1" applyAlignment="1">
      <alignment horizontal="center" vertical="center" wrapText="1"/>
    </xf>
    <xf numFmtId="0" fontId="0" fillId="7" borderId="7" xfId="0" applyFill="1" applyBorder="1" applyAlignment="1">
      <alignment horizontal="left" vertical="top"/>
    </xf>
    <xf numFmtId="0" fontId="0" fillId="7" borderId="7" xfId="0" applyFill="1" applyBorder="1" applyAlignment="1">
      <alignment horizontal="left" vertical="top" wrapText="1"/>
    </xf>
    <xf numFmtId="0" fontId="0" fillId="7" borderId="7" xfId="0" applyFill="1" applyBorder="1" applyAlignment="1">
      <alignment horizontal="left"/>
    </xf>
    <xf numFmtId="0" fontId="3" fillId="7" borderId="1"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0" fillId="7" borderId="0" xfId="0" applyFill="1" applyAlignment="1">
      <alignment horizontal="left" vertical="center"/>
    </xf>
    <xf numFmtId="0" fontId="0" fillId="7" borderId="0" xfId="0" applyFill="1" applyAlignment="1">
      <alignment horizontal="left" wrapText="1"/>
    </xf>
    <xf numFmtId="0" fontId="3" fillId="7" borderId="0" xfId="0" applyFont="1" applyFill="1" applyAlignment="1">
      <alignment horizontal="center" vertical="center" wrapText="1"/>
    </xf>
    <xf numFmtId="0" fontId="0" fillId="3" borderId="0" xfId="0" applyFill="1" applyAlignment="1" applyProtection="1">
      <alignment horizontal="center" wrapText="1"/>
      <protection locked="0"/>
    </xf>
    <xf numFmtId="0" fontId="0" fillId="3" borderId="0" xfId="0" applyFill="1" applyAlignment="1" applyProtection="1">
      <alignment wrapText="1"/>
      <protection locked="0"/>
    </xf>
    <xf numFmtId="0" fontId="0" fillId="5" borderId="0" xfId="0" applyFill="1" applyAlignment="1">
      <alignment horizontal="center" vertical="center"/>
    </xf>
    <xf numFmtId="0" fontId="0" fillId="7" borderId="7" xfId="0" applyFill="1" applyBorder="1" applyAlignment="1">
      <alignment horizontal="center" vertical="center"/>
    </xf>
    <xf numFmtId="0" fontId="0" fillId="7" borderId="0" xfId="0" applyFill="1" applyAlignment="1">
      <alignment horizontal="center" vertical="center"/>
    </xf>
    <xf numFmtId="0" fontId="44" fillId="0" borderId="0" xfId="0" applyFont="1"/>
    <xf numFmtId="0" fontId="44" fillId="0" borderId="0" xfId="0" applyFont="1" applyProtection="1">
      <protection locked="0"/>
    </xf>
    <xf numFmtId="0" fontId="2" fillId="6" borderId="6" xfId="0" applyFont="1" applyFill="1" applyBorder="1" applyAlignment="1">
      <alignment horizontal="left" vertical="center"/>
    </xf>
    <xf numFmtId="164" fontId="45" fillId="5" borderId="3" xfId="0" quotePrefix="1" applyNumberFormat="1" applyFont="1" applyFill="1" applyBorder="1" applyAlignment="1">
      <alignment horizontal="left" vertical="center"/>
    </xf>
    <xf numFmtId="0" fontId="16" fillId="6" borderId="3" xfId="0" applyFont="1" applyFill="1" applyBorder="1" applyAlignment="1">
      <alignment vertical="center"/>
    </xf>
    <xf numFmtId="0" fontId="17" fillId="5" borderId="3" xfId="0" applyFont="1" applyFill="1" applyBorder="1" applyAlignment="1">
      <alignment vertical="center"/>
    </xf>
    <xf numFmtId="164" fontId="41" fillId="5" borderId="3" xfId="0" quotePrefix="1" applyNumberFormat="1" applyFont="1" applyFill="1" applyBorder="1" applyAlignment="1">
      <alignment vertical="center"/>
    </xf>
    <xf numFmtId="0" fontId="17" fillId="5" borderId="3" xfId="0" applyFont="1" applyFill="1" applyBorder="1" applyAlignment="1">
      <alignment vertical="center" wrapText="1"/>
    </xf>
    <xf numFmtId="0" fontId="46" fillId="7" borderId="7" xfId="0" applyFont="1" applyFill="1" applyBorder="1" applyAlignment="1">
      <alignment horizontal="left" vertical="center" wrapText="1"/>
    </xf>
    <xf numFmtId="0" fontId="9" fillId="7" borderId="7" xfId="0" applyFont="1" applyFill="1" applyBorder="1" applyAlignment="1">
      <alignment horizontal="left" vertical="center" wrapText="1"/>
    </xf>
    <xf numFmtId="0" fontId="46" fillId="7" borderId="5" xfId="0" applyFont="1" applyFill="1" applyBorder="1" applyAlignment="1">
      <alignment horizontal="left" vertical="center" wrapText="1"/>
    </xf>
    <xf numFmtId="0" fontId="26" fillId="5" borderId="0" xfId="0" applyFont="1" applyFill="1" applyProtection="1">
      <protection locked="0"/>
    </xf>
    <xf numFmtId="0" fontId="44" fillId="0" borderId="0" xfId="0" applyFont="1" applyAlignment="1" applyProtection="1">
      <alignment vertical="center" wrapText="1"/>
      <protection locked="0"/>
    </xf>
    <xf numFmtId="0" fontId="44" fillId="5" borderId="0" xfId="0" applyFont="1" applyFill="1" applyAlignment="1" applyProtection="1">
      <alignment vertical="center" wrapText="1"/>
      <protection locked="0"/>
    </xf>
    <xf numFmtId="0" fontId="17" fillId="5" borderId="10" xfId="0" applyFont="1" applyFill="1" applyBorder="1" applyAlignment="1">
      <alignment vertical="center"/>
    </xf>
    <xf numFmtId="0" fontId="17" fillId="5" borderId="10" xfId="0" applyFont="1" applyFill="1" applyBorder="1" applyAlignment="1">
      <alignment vertical="center" wrapText="1"/>
    </xf>
    <xf numFmtId="164" fontId="45" fillId="5" borderId="10" xfId="0" quotePrefix="1" applyNumberFormat="1" applyFont="1" applyFill="1" applyBorder="1" applyAlignment="1">
      <alignment horizontal="left" vertical="center"/>
    </xf>
    <xf numFmtId="0" fontId="17" fillId="5" borderId="3" xfId="0" applyFont="1" applyFill="1" applyBorder="1"/>
    <xf numFmtId="0" fontId="17" fillId="5" borderId="3" xfId="0" applyFont="1" applyFill="1" applyBorder="1" applyAlignment="1">
      <alignment wrapText="1"/>
    </xf>
    <xf numFmtId="0" fontId="40" fillId="7" borderId="7" xfId="0" applyFont="1" applyFill="1" applyBorder="1" applyAlignment="1">
      <alignment horizontal="left" vertical="center" wrapText="1"/>
    </xf>
    <xf numFmtId="0" fontId="39" fillId="7" borderId="7" xfId="0" applyFont="1" applyFill="1" applyBorder="1" applyAlignment="1">
      <alignment horizontal="center" vertical="center" wrapText="1"/>
    </xf>
    <xf numFmtId="0" fontId="17" fillId="5" borderId="3" xfId="0" quotePrefix="1" applyFont="1" applyFill="1" applyBorder="1" applyAlignment="1">
      <alignment vertical="center"/>
    </xf>
    <xf numFmtId="0" fontId="1" fillId="7" borderId="7" xfId="0" applyFont="1" applyFill="1" applyBorder="1" applyAlignment="1">
      <alignment horizontal="left" wrapText="1"/>
    </xf>
    <xf numFmtId="0" fontId="19" fillId="7" borderId="0" xfId="0" applyFont="1" applyFill="1" applyAlignment="1">
      <alignment horizontal="left" vertical="center" wrapText="1"/>
    </xf>
    <xf numFmtId="0" fontId="36" fillId="7" borderId="5" xfId="0" applyFont="1" applyFill="1" applyBorder="1" applyAlignment="1">
      <alignment horizontal="left"/>
    </xf>
    <xf numFmtId="0" fontId="29" fillId="7" borderId="6" xfId="0" applyFont="1" applyFill="1" applyBorder="1" applyAlignment="1">
      <alignment horizontal="left"/>
    </xf>
    <xf numFmtId="0" fontId="29" fillId="7" borderId="9" xfId="0" applyFont="1" applyFill="1" applyBorder="1" applyAlignment="1">
      <alignment horizontal="left"/>
    </xf>
    <xf numFmtId="0" fontId="29" fillId="7" borderId="5" xfId="0" applyFont="1" applyFill="1" applyBorder="1" applyAlignment="1">
      <alignment horizontal="left"/>
    </xf>
    <xf numFmtId="0" fontId="28" fillId="6" borderId="5" xfId="0" applyFont="1" applyFill="1" applyBorder="1" applyAlignment="1">
      <alignment horizontal="left"/>
    </xf>
    <xf numFmtId="0" fontId="28" fillId="6" borderId="6" xfId="0" applyFont="1" applyFill="1" applyBorder="1" applyAlignment="1">
      <alignment horizontal="left"/>
    </xf>
    <xf numFmtId="0" fontId="28" fillId="6" borderId="9" xfId="0" applyFont="1" applyFill="1" applyBorder="1" applyAlignment="1">
      <alignment horizontal="left"/>
    </xf>
    <xf numFmtId="0" fontId="26" fillId="6" borderId="3" xfId="0" applyFont="1" applyFill="1" applyBorder="1" applyAlignment="1">
      <alignment horizontal="left" vertical="center"/>
    </xf>
    <xf numFmtId="0" fontId="26" fillId="6" borderId="3" xfId="0" applyFont="1" applyFill="1" applyBorder="1" applyAlignment="1">
      <alignment horizontal="left" vertical="center" wrapText="1"/>
    </xf>
    <xf numFmtId="0" fontId="26" fillId="6" borderId="7" xfId="0" applyFont="1" applyFill="1" applyBorder="1" applyAlignment="1">
      <alignment horizontal="left"/>
    </xf>
    <xf numFmtId="0" fontId="0" fillId="0" borderId="0" xfId="0" applyAlignment="1">
      <alignment horizontal="left" wrapText="1"/>
    </xf>
    <xf numFmtId="0" fontId="5" fillId="7" borderId="5" xfId="0" applyFont="1" applyFill="1" applyBorder="1" applyAlignment="1">
      <alignment horizontal="left" vertical="center" wrapText="1"/>
    </xf>
    <xf numFmtId="0" fontId="5" fillId="7" borderId="6"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11" fillId="8" borderId="5" xfId="0" applyFont="1" applyFill="1" applyBorder="1" applyAlignment="1">
      <alignment horizontal="left" vertical="center" wrapText="1"/>
    </xf>
    <xf numFmtId="0" fontId="11" fillId="8" borderId="6" xfId="0" applyFont="1" applyFill="1" applyBorder="1" applyAlignment="1">
      <alignment horizontal="left" vertical="center" wrapText="1"/>
    </xf>
    <xf numFmtId="0" fontId="11" fillId="8" borderId="12" xfId="0" applyFont="1" applyFill="1" applyBorder="1" applyAlignment="1">
      <alignment horizontal="left" vertical="center" wrapText="1"/>
    </xf>
    <xf numFmtId="0" fontId="2" fillId="6" borderId="5" xfId="0" applyFont="1" applyFill="1" applyBorder="1" applyAlignment="1">
      <alignment horizontal="left"/>
    </xf>
    <xf numFmtId="0" fontId="2" fillId="6" borderId="6" xfId="0" applyFont="1" applyFill="1" applyBorder="1" applyAlignment="1">
      <alignment horizontal="left"/>
    </xf>
    <xf numFmtId="0" fontId="2" fillId="6" borderId="9" xfId="0" applyFont="1" applyFill="1" applyBorder="1" applyAlignment="1">
      <alignment horizontal="left"/>
    </xf>
    <xf numFmtId="0" fontId="44" fillId="0" borderId="7" xfId="0" applyFont="1" applyBorder="1" applyAlignment="1">
      <alignment horizontal="left" vertical="center" wrapText="1"/>
    </xf>
    <xf numFmtId="0" fontId="6" fillId="3" borderId="7" xfId="0" applyFont="1" applyFill="1" applyBorder="1" applyAlignment="1" applyProtection="1">
      <alignment horizontal="center" wrapText="1"/>
      <protection locked="0"/>
    </xf>
    <xf numFmtId="0" fontId="2" fillId="6" borderId="5" xfId="0" applyFont="1" applyFill="1" applyBorder="1" applyAlignment="1" applyProtection="1">
      <alignment horizontal="center" wrapText="1"/>
      <protection locked="0"/>
    </xf>
    <xf numFmtId="0" fontId="2" fillId="6" borderId="9" xfId="0" applyFont="1" applyFill="1" applyBorder="1" applyAlignment="1" applyProtection="1">
      <alignment horizontal="center" wrapText="1"/>
      <protection locked="0"/>
    </xf>
    <xf numFmtId="0" fontId="33" fillId="6" borderId="2" xfId="0" applyFont="1" applyFill="1" applyBorder="1" applyAlignment="1">
      <alignment horizontal="left"/>
    </xf>
    <xf numFmtId="0" fontId="33" fillId="6" borderId="4" xfId="0" applyFont="1" applyFill="1" applyBorder="1" applyAlignment="1">
      <alignment horizontal="left"/>
    </xf>
    <xf numFmtId="0" fontId="48" fillId="5" borderId="7" xfId="0" applyFont="1" applyFill="1" applyBorder="1" applyAlignment="1">
      <alignment horizontal="left" vertical="top" wrapText="1"/>
    </xf>
    <xf numFmtId="0" fontId="38" fillId="5" borderId="7" xfId="0" applyFont="1" applyFill="1" applyBorder="1" applyAlignment="1">
      <alignment horizontal="left" vertical="top" wrapText="1"/>
    </xf>
    <xf numFmtId="0" fontId="32" fillId="6" borderId="0" xfId="0" applyFont="1" applyFill="1" applyAlignment="1">
      <alignment horizontal="center" vertical="center"/>
    </xf>
    <xf numFmtId="0" fontId="40" fillId="5" borderId="0" xfId="0" applyFont="1" applyFill="1" applyAlignment="1">
      <alignment horizontal="left" wrapText="1"/>
    </xf>
    <xf numFmtId="0" fontId="0" fillId="5" borderId="0" xfId="0" applyFill="1" applyAlignment="1">
      <alignment horizontal="left" wrapText="1"/>
    </xf>
  </cellXfs>
  <cellStyles count="4">
    <cellStyle name="Hyperlink" xfId="1" builtinId="8"/>
    <cellStyle name="Normal" xfId="0" builtinId="0"/>
    <cellStyle name="Normal 10" xfId="3" xr:uid="{6D34B3F9-9E54-4B4A-B08D-A585597DC0FE}"/>
    <cellStyle name="Normal 9" xfId="2" xr:uid="{31F220DC-C723-4E68-86BD-E799B686FDE5}"/>
  </cellStyles>
  <dxfs count="0"/>
  <tableStyles count="0" defaultTableStyle="TableStyleMedium2" defaultPivotStyle="PivotStyleLight16"/>
  <colors>
    <mruColors>
      <color rgb="FFCC00CC"/>
      <color rgb="FF7A3864"/>
      <color rgb="FFF2EBF0"/>
      <color rgb="FF660066"/>
      <color rgb="FFFFE1E1"/>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857250</xdr:colOff>
      <xdr:row>0</xdr:row>
      <xdr:rowOff>127000</xdr:rowOff>
    </xdr:from>
    <xdr:to>
      <xdr:col>5</xdr:col>
      <xdr:colOff>857250</xdr:colOff>
      <xdr:row>8</xdr:row>
      <xdr:rowOff>40767</xdr:rowOff>
    </xdr:to>
    <xdr:pic>
      <xdr:nvPicPr>
        <xdr:cNvPr id="2" name="Picture 1">
          <a:extLst>
            <a:ext uri="{FF2B5EF4-FFF2-40B4-BE49-F238E27FC236}">
              <a16:creationId xmlns:a16="http://schemas.microsoft.com/office/drawing/2014/main" id="{935BF7B3-AB67-44CB-AEF1-3F90558DA0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801475" y="123825"/>
          <a:ext cx="0" cy="1583817"/>
        </a:xfrm>
        <a:prstGeom prst="rect">
          <a:avLst/>
        </a:prstGeom>
      </xdr:spPr>
    </xdr:pic>
    <xdr:clientData/>
  </xdr:twoCellAnchor>
  <xdr:twoCellAnchor editAs="oneCell">
    <xdr:from>
      <xdr:col>5</xdr:col>
      <xdr:colOff>733425</xdr:colOff>
      <xdr:row>0</xdr:row>
      <xdr:rowOff>152400</xdr:rowOff>
    </xdr:from>
    <xdr:to>
      <xdr:col>5</xdr:col>
      <xdr:colOff>2001647</xdr:colOff>
      <xdr:row>3</xdr:row>
      <xdr:rowOff>140780</xdr:rowOff>
    </xdr:to>
    <xdr:pic>
      <xdr:nvPicPr>
        <xdr:cNvPr id="4" name="Picture 3">
          <a:extLst>
            <a:ext uri="{FF2B5EF4-FFF2-40B4-BE49-F238E27FC236}">
              <a16:creationId xmlns:a16="http://schemas.microsoft.com/office/drawing/2014/main" id="{5EE4AA59-CD08-439B-849A-51D3A381EF7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677650" y="152400"/>
          <a:ext cx="1268222" cy="85515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neso.energy/document/34021/download" TargetMode="External"/><Relationship Id="rId1" Type="http://schemas.openxmlformats.org/officeDocument/2006/relationships/hyperlink" Target="https://www.nationalgrideso.com/document/275916/downlo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61A84-C0B5-4381-B32A-7A85BF28FAF6}">
  <dimension ref="A1:G10"/>
  <sheetViews>
    <sheetView tabSelected="1" topLeftCell="A5" workbookViewId="0">
      <selection activeCell="C8" sqref="C8"/>
    </sheetView>
  </sheetViews>
  <sheetFormatPr defaultColWidth="0" defaultRowHeight="14.15" customHeight="1" zeroHeight="1" x14ac:dyDescent="0.35"/>
  <cols>
    <col min="1" max="2" width="9.453125" style="1" customWidth="1"/>
    <col min="3" max="3" width="53.81640625" style="1" customWidth="1"/>
    <col min="4" max="4" width="33" style="1" customWidth="1"/>
    <col min="5" max="7" width="9.453125" style="1" customWidth="1"/>
    <col min="8" max="16384" width="9.453125" style="1" hidden="1"/>
  </cols>
  <sheetData>
    <row r="1" spans="1:7" ht="30" x14ac:dyDescent="0.6">
      <c r="A1" s="7" t="s">
        <v>0</v>
      </c>
      <c r="B1" s="8"/>
      <c r="C1" s="8"/>
      <c r="D1" s="8"/>
      <c r="E1" s="8"/>
      <c r="F1" s="9"/>
      <c r="G1" s="9"/>
    </row>
    <row r="2" spans="1:7" ht="14.5" x14ac:dyDescent="0.35">
      <c r="A2" s="8"/>
      <c r="B2" s="8"/>
      <c r="C2" s="8"/>
      <c r="D2" s="8"/>
      <c r="E2" s="8"/>
      <c r="F2" s="9"/>
      <c r="G2" s="9"/>
    </row>
    <row r="3" spans="1:7" ht="18.5" x14ac:dyDescent="0.35">
      <c r="A3" s="8"/>
      <c r="B3" s="96" t="s">
        <v>1</v>
      </c>
      <c r="C3" s="96" t="s">
        <v>2</v>
      </c>
      <c r="D3" s="96" t="s">
        <v>3</v>
      </c>
      <c r="E3" s="8"/>
      <c r="F3" s="9"/>
      <c r="G3" s="9"/>
    </row>
    <row r="4" spans="1:7" ht="18.5" x14ac:dyDescent="0.35">
      <c r="A4" s="8"/>
      <c r="B4" s="97" t="s">
        <v>4</v>
      </c>
      <c r="C4" s="97" t="s">
        <v>5</v>
      </c>
      <c r="D4" s="98" t="s">
        <v>6</v>
      </c>
      <c r="E4" s="8"/>
      <c r="F4" s="9"/>
      <c r="G4" s="9"/>
    </row>
    <row r="5" spans="1:7" ht="92.5" x14ac:dyDescent="0.35">
      <c r="A5" s="8"/>
      <c r="B5" s="97" t="s">
        <v>7</v>
      </c>
      <c r="C5" s="99" t="s">
        <v>8</v>
      </c>
      <c r="D5" s="95" t="s">
        <v>9</v>
      </c>
      <c r="E5" s="8"/>
      <c r="F5" s="9"/>
      <c r="G5" s="9"/>
    </row>
    <row r="6" spans="1:7" ht="68.25" customHeight="1" x14ac:dyDescent="0.35">
      <c r="A6" s="8"/>
      <c r="B6" s="106" t="s">
        <v>10</v>
      </c>
      <c r="C6" s="107" t="s">
        <v>11</v>
      </c>
      <c r="D6" s="108" t="s">
        <v>12</v>
      </c>
      <c r="E6" s="8"/>
      <c r="F6" s="9"/>
      <c r="G6" s="9"/>
    </row>
    <row r="7" spans="1:7" ht="55.5" x14ac:dyDescent="0.45">
      <c r="A7" s="8"/>
      <c r="B7" s="109" t="s">
        <v>13</v>
      </c>
      <c r="C7" s="110" t="s">
        <v>299</v>
      </c>
      <c r="D7" s="113" t="s">
        <v>14</v>
      </c>
      <c r="E7" s="8"/>
      <c r="F7" s="9"/>
      <c r="G7" s="9"/>
    </row>
    <row r="8" spans="1:7" ht="14.5" x14ac:dyDescent="0.35">
      <c r="A8" s="8"/>
      <c r="B8" s="8"/>
      <c r="C8" s="8"/>
      <c r="D8" s="8"/>
      <c r="E8" s="8"/>
      <c r="F8" s="9"/>
      <c r="G8" s="9"/>
    </row>
    <row r="9" spans="1:7" ht="14.5" hidden="1" x14ac:dyDescent="0.35">
      <c r="A9" s="10"/>
      <c r="B9" s="10"/>
      <c r="C9" s="10"/>
      <c r="D9" s="10"/>
      <c r="E9" s="10"/>
    </row>
    <row r="10" spans="1:7" ht="14.5" hidden="1" x14ac:dyDescent="0.35">
      <c r="A10" s="10"/>
      <c r="B10" s="10"/>
      <c r="C10" s="10"/>
      <c r="D10" s="10"/>
      <c r="E10" s="10"/>
    </row>
  </sheetData>
  <sheetProtection algorithmName="SHA-512" hashValue="eoCCWk08D1MnPeDrJI9yvJiWHQXl6ty+jiwPy/hKec4Wz9DhHx0WKlo1XkA6m4U+CbJ87MvRMZ6O3xfCuMQkUw==" saltValue="f/443obvQYyV0VctWjhTFA==" spinCount="100000"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BE638-ACE7-464B-8B7A-B4BB853EFED4}">
  <sheetPr>
    <pageSetUpPr fitToPage="1"/>
  </sheetPr>
  <dimension ref="A1:AN55"/>
  <sheetViews>
    <sheetView showGridLines="0" workbookViewId="0">
      <selection activeCell="D23" sqref="D23:E23"/>
    </sheetView>
  </sheetViews>
  <sheetFormatPr defaultColWidth="0" defaultRowHeight="14" zeroHeight="1" x14ac:dyDescent="0.3"/>
  <cols>
    <col min="1" max="1" width="4.26953125" style="12" customWidth="1"/>
    <col min="2" max="2" width="33.1796875" style="12" customWidth="1"/>
    <col min="3" max="3" width="20.54296875" style="12" customWidth="1"/>
    <col min="4" max="4" width="28.7265625" style="12" customWidth="1"/>
    <col min="5" max="5" width="70" style="12" customWidth="1"/>
    <col min="6" max="6" width="35.54296875" style="12" customWidth="1"/>
    <col min="7" max="7" width="28.7265625" style="12" hidden="1" customWidth="1"/>
    <col min="8" max="12" width="25.7265625" style="12" hidden="1" customWidth="1"/>
    <col min="13" max="40" width="0" style="12" hidden="1" customWidth="1"/>
    <col min="41" max="16384" width="8.7265625" style="12" hidden="1"/>
  </cols>
  <sheetData>
    <row r="1" spans="1:39" x14ac:dyDescent="0.3">
      <c r="A1" s="27"/>
      <c r="B1" s="28"/>
      <c r="C1" s="28"/>
      <c r="D1" s="28"/>
      <c r="E1" s="28"/>
      <c r="F1" s="28"/>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row>
    <row r="2" spans="1:39" ht="30" x14ac:dyDescent="0.6">
      <c r="A2" s="27"/>
      <c r="B2" s="29" t="s">
        <v>15</v>
      </c>
      <c r="C2" s="28"/>
      <c r="D2" s="28"/>
      <c r="E2" s="28"/>
      <c r="F2" s="28"/>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row>
    <row r="3" spans="1:39" ht="23" x14ac:dyDescent="0.3">
      <c r="A3" s="27"/>
      <c r="B3" s="30" t="s">
        <v>16</v>
      </c>
      <c r="C3" s="28"/>
      <c r="D3" s="28"/>
      <c r="E3" s="28"/>
      <c r="F3" s="28"/>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row>
    <row r="4" spans="1:39" ht="22.5" x14ac:dyDescent="0.45">
      <c r="A4" s="27"/>
      <c r="B4" s="31"/>
      <c r="C4" s="28"/>
      <c r="D4" s="28"/>
      <c r="E4" s="28"/>
      <c r="F4" s="28"/>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row>
    <row r="5" spans="1:39" x14ac:dyDescent="0.3">
      <c r="A5" s="27"/>
      <c r="B5" s="32" t="s">
        <v>17</v>
      </c>
      <c r="C5" s="28"/>
      <c r="D5" s="28"/>
      <c r="E5" s="28"/>
      <c r="F5" s="28"/>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row>
    <row r="6" spans="1:39" ht="139" customHeight="1" x14ac:dyDescent="0.3">
      <c r="A6" s="27"/>
      <c r="B6" s="115" t="s">
        <v>18</v>
      </c>
      <c r="C6" s="115"/>
      <c r="D6" s="115"/>
      <c r="E6" s="115"/>
      <c r="F6" s="28"/>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row>
    <row r="7" spans="1:39" x14ac:dyDescent="0.3">
      <c r="A7" s="27"/>
      <c r="B7" s="28"/>
      <c r="C7" s="28"/>
      <c r="D7" s="28"/>
      <c r="E7" s="28"/>
      <c r="F7" s="28"/>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row>
    <row r="8" spans="1:39" x14ac:dyDescent="0.3">
      <c r="A8" s="27"/>
      <c r="B8" s="33" t="s">
        <v>19</v>
      </c>
      <c r="C8" s="28"/>
      <c r="D8" s="28"/>
      <c r="E8" s="28"/>
      <c r="F8" s="28"/>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row>
    <row r="9" spans="1:39" x14ac:dyDescent="0.3">
      <c r="A9" s="27"/>
      <c r="B9" s="28"/>
      <c r="C9" s="28"/>
      <c r="D9" s="28"/>
      <c r="E9" s="28"/>
      <c r="F9" s="28"/>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row>
    <row r="10" spans="1:39" x14ac:dyDescent="0.3">
      <c r="A10" s="28"/>
      <c r="B10" s="28"/>
      <c r="C10" s="28"/>
      <c r="D10" s="28"/>
      <c r="E10" s="28"/>
      <c r="F10" s="28"/>
    </row>
    <row r="11" spans="1:39" ht="15.5" x14ac:dyDescent="0.35">
      <c r="A11" s="28"/>
      <c r="B11" s="120" t="s">
        <v>20</v>
      </c>
      <c r="C11" s="121"/>
      <c r="D11" s="121"/>
      <c r="E11" s="122"/>
      <c r="F11" s="28"/>
    </row>
    <row r="12" spans="1:39" ht="19.5" customHeight="1" x14ac:dyDescent="0.3">
      <c r="A12" s="28"/>
      <c r="B12" s="119" t="s">
        <v>21</v>
      </c>
      <c r="C12" s="117"/>
      <c r="D12" s="117"/>
      <c r="E12" s="118"/>
      <c r="F12" s="28"/>
    </row>
    <row r="13" spans="1:39" ht="19.5" customHeight="1" x14ac:dyDescent="0.3">
      <c r="A13" s="28"/>
      <c r="B13" s="119" t="s">
        <v>22</v>
      </c>
      <c r="C13" s="117"/>
      <c r="D13" s="117"/>
      <c r="E13" s="118"/>
      <c r="F13" s="28"/>
    </row>
    <row r="14" spans="1:39" ht="19.5" customHeight="1" x14ac:dyDescent="0.3">
      <c r="A14" s="28"/>
      <c r="B14" s="116" t="s">
        <v>23</v>
      </c>
      <c r="C14" s="117"/>
      <c r="D14" s="117"/>
      <c r="E14" s="118"/>
      <c r="F14" s="28"/>
    </row>
    <row r="15" spans="1:39" ht="19.5" customHeight="1" x14ac:dyDescent="0.3">
      <c r="A15" s="28"/>
      <c r="B15" s="119" t="s">
        <v>24</v>
      </c>
      <c r="C15" s="117"/>
      <c r="D15" s="117"/>
      <c r="E15" s="118"/>
      <c r="F15" s="28"/>
    </row>
    <row r="16" spans="1:39" ht="19.5" customHeight="1" x14ac:dyDescent="0.3">
      <c r="A16" s="28"/>
      <c r="B16" s="119" t="s">
        <v>25</v>
      </c>
      <c r="C16" s="117"/>
      <c r="D16" s="117"/>
      <c r="E16" s="118"/>
      <c r="F16" s="28"/>
    </row>
    <row r="17" spans="1:6" x14ac:dyDescent="0.3">
      <c r="A17" s="28"/>
      <c r="B17" s="28"/>
      <c r="C17" s="28"/>
      <c r="D17" s="28"/>
      <c r="E17" s="28"/>
      <c r="F17" s="28"/>
    </row>
    <row r="18" spans="1:6" ht="18" x14ac:dyDescent="0.3">
      <c r="A18" s="28"/>
      <c r="B18" s="34"/>
      <c r="C18" s="35"/>
      <c r="D18" s="28"/>
      <c r="E18" s="28"/>
      <c r="F18" s="28"/>
    </row>
    <row r="19" spans="1:6" x14ac:dyDescent="0.3">
      <c r="A19" s="28"/>
      <c r="B19" s="36"/>
      <c r="C19" s="36"/>
      <c r="D19" s="36"/>
      <c r="E19" s="36"/>
      <c r="F19" s="28"/>
    </row>
    <row r="20" spans="1:6" ht="14.5" x14ac:dyDescent="0.35">
      <c r="A20" s="28"/>
      <c r="B20" s="37" t="s">
        <v>26</v>
      </c>
      <c r="C20" s="38"/>
      <c r="D20" s="39"/>
      <c r="E20" s="36"/>
      <c r="F20" s="28"/>
    </row>
    <row r="21" spans="1:6" ht="14.5" x14ac:dyDescent="0.35">
      <c r="A21" s="28"/>
      <c r="B21" s="38"/>
      <c r="C21" s="38"/>
      <c r="D21" s="39"/>
      <c r="E21" s="28"/>
      <c r="F21" s="28"/>
    </row>
    <row r="22" spans="1:6" ht="46.5" customHeight="1" x14ac:dyDescent="0.35">
      <c r="A22" s="28"/>
      <c r="B22" s="38"/>
      <c r="C22" s="40"/>
      <c r="D22" s="123" t="s">
        <v>27</v>
      </c>
      <c r="E22" s="123"/>
      <c r="F22" s="28"/>
    </row>
    <row r="23" spans="1:6" ht="46.5" customHeight="1" x14ac:dyDescent="0.35">
      <c r="A23" s="28"/>
      <c r="B23" s="38"/>
      <c r="C23" s="40"/>
      <c r="D23" s="124" t="s">
        <v>28</v>
      </c>
      <c r="E23" s="124"/>
      <c r="F23" s="28"/>
    </row>
    <row r="24" spans="1:6" ht="69" customHeight="1" x14ac:dyDescent="0.35">
      <c r="A24" s="28"/>
      <c r="B24" s="38"/>
      <c r="C24" s="40"/>
      <c r="D24" s="124" t="s">
        <v>29</v>
      </c>
      <c r="E24" s="124"/>
      <c r="F24" s="28"/>
    </row>
    <row r="25" spans="1:6" x14ac:dyDescent="0.3">
      <c r="A25" s="28"/>
      <c r="B25" s="28"/>
      <c r="C25" s="28"/>
      <c r="D25" s="28"/>
      <c r="E25" s="28"/>
      <c r="F25" s="28"/>
    </row>
    <row r="26" spans="1:6" x14ac:dyDescent="0.3">
      <c r="A26" s="28"/>
      <c r="B26" s="28"/>
      <c r="C26" s="28"/>
      <c r="D26" s="28"/>
      <c r="E26" s="28"/>
      <c r="F26" s="28"/>
    </row>
    <row r="27" spans="1:6" x14ac:dyDescent="0.3">
      <c r="A27" s="28"/>
      <c r="B27" s="28"/>
      <c r="C27" s="28"/>
      <c r="D27" s="28"/>
      <c r="E27" s="28"/>
      <c r="F27" s="28"/>
    </row>
    <row r="28" spans="1:6" x14ac:dyDescent="0.3">
      <c r="A28" s="28"/>
      <c r="B28" s="28"/>
      <c r="C28" s="28"/>
      <c r="D28" s="28"/>
      <c r="E28" s="28"/>
      <c r="F28" s="28"/>
    </row>
    <row r="29" spans="1:6" x14ac:dyDescent="0.3">
      <c r="A29" s="28"/>
      <c r="B29" s="28"/>
      <c r="C29" s="28"/>
      <c r="D29" s="28"/>
      <c r="E29" s="28"/>
      <c r="F29" s="28"/>
    </row>
    <row r="30" spans="1:6" x14ac:dyDescent="0.3">
      <c r="A30" s="28"/>
      <c r="B30" s="28"/>
      <c r="C30" s="28"/>
      <c r="D30" s="28"/>
      <c r="E30" s="28"/>
      <c r="F30" s="28"/>
    </row>
    <row r="31" spans="1:6" x14ac:dyDescent="0.3">
      <c r="A31" s="28"/>
      <c r="B31" s="28"/>
      <c r="C31" s="28"/>
      <c r="D31" s="28"/>
      <c r="E31" s="28"/>
      <c r="F31" s="28"/>
    </row>
    <row r="32" spans="1:6" x14ac:dyDescent="0.3">
      <c r="A32" s="28"/>
      <c r="B32" s="28"/>
      <c r="C32" s="28"/>
      <c r="D32" s="28"/>
      <c r="E32" s="28"/>
      <c r="F32" s="28"/>
    </row>
    <row r="33" spans="1:6" x14ac:dyDescent="0.3">
      <c r="A33" s="28"/>
      <c r="B33" s="28"/>
      <c r="C33" s="28"/>
      <c r="D33" s="28"/>
      <c r="E33" s="28"/>
      <c r="F33" s="28"/>
    </row>
    <row r="34" spans="1:6" x14ac:dyDescent="0.3">
      <c r="A34" s="28"/>
      <c r="B34" s="28"/>
      <c r="C34" s="28"/>
      <c r="D34" s="28"/>
      <c r="E34" s="28"/>
      <c r="F34" s="28"/>
    </row>
    <row r="35" spans="1:6" x14ac:dyDescent="0.3">
      <c r="A35" s="28"/>
      <c r="B35" s="28"/>
      <c r="C35" s="28"/>
      <c r="D35" s="28"/>
      <c r="E35" s="28"/>
      <c r="F35" s="28"/>
    </row>
    <row r="36" spans="1:6" x14ac:dyDescent="0.3">
      <c r="A36" s="28"/>
      <c r="B36" s="28"/>
      <c r="C36" s="28"/>
      <c r="D36" s="28"/>
      <c r="E36" s="28"/>
      <c r="F36" s="28"/>
    </row>
    <row r="37" spans="1:6" x14ac:dyDescent="0.3">
      <c r="A37" s="28"/>
      <c r="B37" s="28"/>
      <c r="C37" s="28"/>
      <c r="D37" s="28"/>
      <c r="E37" s="28"/>
      <c r="F37" s="28"/>
    </row>
    <row r="38" spans="1:6" x14ac:dyDescent="0.3">
      <c r="A38" s="28"/>
      <c r="B38" s="28"/>
      <c r="C38" s="28"/>
      <c r="D38" s="28"/>
      <c r="E38" s="28"/>
      <c r="F38" s="28"/>
    </row>
    <row r="39" spans="1:6" x14ac:dyDescent="0.3">
      <c r="A39" s="28"/>
      <c r="B39" s="28"/>
      <c r="C39" s="28"/>
      <c r="D39" s="28"/>
      <c r="E39" s="28"/>
      <c r="F39" s="28"/>
    </row>
    <row r="40" spans="1:6" x14ac:dyDescent="0.3">
      <c r="A40" s="28"/>
      <c r="B40" s="28"/>
      <c r="C40" s="28"/>
      <c r="D40" s="28"/>
      <c r="E40" s="28"/>
      <c r="F40" s="28"/>
    </row>
    <row r="41" spans="1:6" x14ac:dyDescent="0.3">
      <c r="A41" s="28"/>
      <c r="B41" s="28"/>
      <c r="C41" s="28"/>
      <c r="D41" s="28"/>
      <c r="E41" s="28"/>
      <c r="F41" s="28"/>
    </row>
    <row r="42" spans="1:6" x14ac:dyDescent="0.3">
      <c r="A42" s="28"/>
      <c r="B42" s="28"/>
      <c r="C42" s="28"/>
      <c r="D42" s="28"/>
      <c r="E42" s="28"/>
      <c r="F42" s="28"/>
    </row>
    <row r="43" spans="1:6" x14ac:dyDescent="0.3">
      <c r="A43" s="28"/>
      <c r="B43" s="28"/>
      <c r="C43" s="28"/>
      <c r="D43" s="28"/>
      <c r="E43" s="28"/>
      <c r="F43" s="28"/>
    </row>
    <row r="44" spans="1:6" x14ac:dyDescent="0.3">
      <c r="A44" s="28"/>
      <c r="B44" s="28"/>
      <c r="C44" s="28"/>
      <c r="D44" s="28"/>
      <c r="E44" s="28"/>
      <c r="F44" s="28"/>
    </row>
    <row r="45" spans="1:6" hidden="1" x14ac:dyDescent="0.3">
      <c r="A45" s="28"/>
      <c r="B45" s="28"/>
      <c r="C45" s="28"/>
      <c r="D45" s="28"/>
      <c r="E45" s="28"/>
      <c r="F45" s="28"/>
    </row>
    <row r="46" spans="1:6" hidden="1" x14ac:dyDescent="0.3">
      <c r="A46" s="28"/>
      <c r="B46" s="28"/>
      <c r="C46" s="28"/>
      <c r="D46" s="28"/>
      <c r="E46" s="28"/>
      <c r="F46" s="28"/>
    </row>
    <row r="47" spans="1:6" hidden="1" x14ac:dyDescent="0.3">
      <c r="A47" s="28"/>
      <c r="B47" s="28"/>
      <c r="C47" s="28"/>
      <c r="D47" s="28"/>
      <c r="E47" s="28"/>
      <c r="F47" s="28"/>
    </row>
    <row r="48" spans="1:6" hidden="1" x14ac:dyDescent="0.3">
      <c r="A48" s="28"/>
      <c r="B48" s="28"/>
      <c r="C48" s="28"/>
      <c r="D48" s="28"/>
      <c r="E48" s="28"/>
      <c r="F48" s="28"/>
    </row>
    <row r="49" spans="1:6" hidden="1" x14ac:dyDescent="0.3">
      <c r="A49" s="28"/>
      <c r="B49" s="28"/>
      <c r="C49" s="28"/>
      <c r="D49" s="28"/>
      <c r="E49" s="28"/>
      <c r="F49" s="28"/>
    </row>
    <row r="50" spans="1:6" hidden="1" x14ac:dyDescent="0.3">
      <c r="A50" s="28"/>
      <c r="B50" s="28"/>
      <c r="C50" s="28"/>
      <c r="D50" s="28"/>
      <c r="E50" s="28"/>
      <c r="F50" s="28"/>
    </row>
    <row r="51" spans="1:6" x14ac:dyDescent="0.3">
      <c r="A51" s="28"/>
      <c r="B51" s="28"/>
      <c r="C51" s="28"/>
      <c r="D51" s="28"/>
      <c r="E51" s="28"/>
      <c r="F51" s="28"/>
    </row>
    <row r="52" spans="1:6" x14ac:dyDescent="0.3">
      <c r="A52" s="28"/>
      <c r="B52" s="28"/>
      <c r="C52" s="28"/>
      <c r="D52" s="28"/>
      <c r="E52" s="28"/>
      <c r="F52" s="28"/>
    </row>
    <row r="53" spans="1:6" x14ac:dyDescent="0.3">
      <c r="A53" s="28"/>
      <c r="B53" s="28"/>
      <c r="C53" s="28"/>
      <c r="D53" s="28"/>
      <c r="E53" s="28"/>
      <c r="F53" s="28"/>
    </row>
    <row r="54" spans="1:6" x14ac:dyDescent="0.3">
      <c r="A54" s="28"/>
      <c r="B54" s="28"/>
      <c r="C54" s="28"/>
      <c r="D54" s="28"/>
      <c r="E54" s="28"/>
      <c r="F54" s="28"/>
    </row>
    <row r="55" spans="1:6" x14ac:dyDescent="0.3">
      <c r="A55" s="28"/>
      <c r="B55" s="28"/>
      <c r="C55" s="28"/>
      <c r="D55" s="28"/>
      <c r="E55" s="28"/>
      <c r="F55" s="28"/>
    </row>
  </sheetData>
  <sheetProtection algorithmName="SHA-512" hashValue="hwjv1QjRyHEDF+VbQeUHJqm+DFy0vtZW/I0DrgHre+pfOa83M0p1WXPuv9mNmmMAp9UKBFCNh/4ciM/CkW4A+Q==" saltValue="jbPQwQoa1mCUK0wO3Rk0jQ==" spinCount="100000" sheet="1" objects="1" scenarios="1" formatCells="0"/>
  <mergeCells count="10">
    <mergeCell ref="D23:E23"/>
    <mergeCell ref="D24:E24"/>
    <mergeCell ref="B13:E13"/>
    <mergeCell ref="B15:E15"/>
    <mergeCell ref="B16:E16"/>
    <mergeCell ref="B6:E6"/>
    <mergeCell ref="B14:E14"/>
    <mergeCell ref="B12:E12"/>
    <mergeCell ref="B11:E11"/>
    <mergeCell ref="D22:E22"/>
  </mergeCells>
  <dataValidations count="1">
    <dataValidation type="list" allowBlank="1" showInputMessage="1" showErrorMessage="1" sqref="C22:C24" xr:uid="{664AE6C8-10F5-4895-A259-89CD6DBF0EA9}">
      <formula1>"Yes, No"</formula1>
    </dataValidation>
  </dataValidations>
  <pageMargins left="0.7" right="0.7" top="0.75" bottom="0.75" header="0.3" footer="0.3"/>
  <pageSetup paperSize="9" scale="45"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9D9DB-FB3C-4520-A5FD-514B8B47BF07}">
  <dimension ref="A1:L57"/>
  <sheetViews>
    <sheetView showGridLines="0" zoomScale="80" zoomScaleNormal="80" workbookViewId="0">
      <selection activeCell="B2" sqref="B2:F2"/>
    </sheetView>
  </sheetViews>
  <sheetFormatPr defaultColWidth="8.7265625" defaultRowHeight="14.5" x14ac:dyDescent="0.35"/>
  <cols>
    <col min="1" max="1" width="9.1796875" customWidth="1"/>
    <col min="2" max="2" width="9" customWidth="1"/>
    <col min="3" max="3" width="51.7265625" customWidth="1"/>
    <col min="4" max="4" width="30.81640625" customWidth="1"/>
    <col min="5" max="5" width="66.54296875" customWidth="1"/>
    <col min="6" max="6" width="55" customWidth="1"/>
    <col min="7" max="7" width="50.453125" customWidth="1"/>
    <col min="8" max="12" width="45.26953125" customWidth="1"/>
    <col min="13" max="16384" width="8.7265625" style="13"/>
  </cols>
  <sheetData>
    <row r="1" spans="1:12" x14ac:dyDescent="0.35">
      <c r="B1" s="41"/>
      <c r="C1" s="42"/>
      <c r="D1" s="42"/>
      <c r="E1" s="42"/>
      <c r="F1" s="42"/>
      <c r="G1" s="13"/>
      <c r="H1" s="14"/>
      <c r="I1" s="13"/>
      <c r="J1" s="13"/>
      <c r="K1" s="13"/>
      <c r="L1" s="13"/>
    </row>
    <row r="2" spans="1:12" s="93" customFormat="1" ht="13" x14ac:dyDescent="0.3">
      <c r="A2" s="92"/>
      <c r="B2" s="125" t="s">
        <v>30</v>
      </c>
      <c r="C2" s="125"/>
      <c r="D2" s="125"/>
      <c r="E2" s="125"/>
      <c r="F2" s="125"/>
      <c r="G2" s="103"/>
      <c r="H2" s="103"/>
    </row>
    <row r="3" spans="1:12" s="93" customFormat="1" ht="63" customHeight="1" x14ac:dyDescent="0.3">
      <c r="A3" s="92"/>
      <c r="B3" s="136" t="s">
        <v>31</v>
      </c>
      <c r="C3" s="136"/>
      <c r="D3" s="136"/>
      <c r="E3" s="136"/>
      <c r="F3" s="136"/>
      <c r="G3" s="104"/>
      <c r="H3" s="105"/>
    </row>
    <row r="4" spans="1:12" x14ac:dyDescent="0.35">
      <c r="B4" s="126"/>
      <c r="C4" s="126"/>
      <c r="D4" s="126"/>
      <c r="E4" s="126"/>
      <c r="F4" s="126"/>
      <c r="G4" s="13"/>
      <c r="H4" s="13"/>
      <c r="I4" s="13"/>
      <c r="J4" s="13"/>
      <c r="K4" s="13"/>
      <c r="L4" s="13"/>
    </row>
    <row r="5" spans="1:12" x14ac:dyDescent="0.35">
      <c r="B5" s="41"/>
      <c r="C5" s="42"/>
      <c r="D5" s="42"/>
      <c r="E5" s="42"/>
      <c r="F5" s="42"/>
      <c r="G5" s="13"/>
      <c r="H5" s="13"/>
      <c r="I5" s="13"/>
      <c r="J5" s="13"/>
      <c r="K5" s="13"/>
      <c r="L5" s="13"/>
    </row>
    <row r="6" spans="1:12" ht="27.5" x14ac:dyDescent="0.45">
      <c r="A6" s="43"/>
      <c r="B6" s="44" t="s">
        <v>32</v>
      </c>
      <c r="C6" s="44" t="s">
        <v>33</v>
      </c>
      <c r="D6" s="44" t="s">
        <v>34</v>
      </c>
      <c r="E6" s="44" t="s">
        <v>35</v>
      </c>
      <c r="F6" s="44" t="s">
        <v>36</v>
      </c>
      <c r="G6" s="66" t="s">
        <v>37</v>
      </c>
      <c r="H6" s="66" t="s">
        <v>38</v>
      </c>
      <c r="I6" s="66" t="s">
        <v>39</v>
      </c>
      <c r="J6" s="66" t="s">
        <v>40</v>
      </c>
      <c r="K6" s="66" t="s">
        <v>41</v>
      </c>
      <c r="L6" s="66" t="s">
        <v>42</v>
      </c>
    </row>
    <row r="7" spans="1:12" ht="28.5" customHeight="1" x14ac:dyDescent="0.45">
      <c r="A7" s="43"/>
      <c r="B7" s="127" t="s">
        <v>43</v>
      </c>
      <c r="C7" s="128"/>
      <c r="D7" s="128"/>
      <c r="E7" s="128"/>
      <c r="F7" s="129"/>
      <c r="G7" s="2" t="s">
        <v>44</v>
      </c>
      <c r="H7" s="2" t="s">
        <v>45</v>
      </c>
      <c r="I7" s="2" t="s">
        <v>46</v>
      </c>
      <c r="J7" s="2" t="s">
        <v>47</v>
      </c>
      <c r="K7" s="2" t="s">
        <v>48</v>
      </c>
      <c r="L7" s="2" t="s">
        <v>49</v>
      </c>
    </row>
    <row r="8" spans="1:12" ht="27" customHeight="1" x14ac:dyDescent="0.45">
      <c r="A8" s="43"/>
      <c r="B8" s="45" t="s">
        <v>50</v>
      </c>
      <c r="C8" s="46"/>
      <c r="D8" s="46"/>
      <c r="E8" s="46"/>
      <c r="F8" s="46"/>
      <c r="G8" s="2" t="s">
        <v>51</v>
      </c>
      <c r="H8" s="2" t="s">
        <v>51</v>
      </c>
      <c r="I8" s="2" t="s">
        <v>51</v>
      </c>
      <c r="J8" s="2" t="s">
        <v>51</v>
      </c>
      <c r="K8" s="2" t="s">
        <v>51</v>
      </c>
      <c r="L8" s="2" t="s">
        <v>51</v>
      </c>
    </row>
    <row r="9" spans="1:12" x14ac:dyDescent="0.35">
      <c r="A9" s="47"/>
      <c r="B9" s="130" t="s">
        <v>52</v>
      </c>
      <c r="C9" s="131"/>
      <c r="D9" s="131"/>
      <c r="E9" s="131"/>
      <c r="F9" s="132"/>
      <c r="G9" s="20"/>
      <c r="H9" s="20"/>
      <c r="I9" s="20"/>
      <c r="J9" s="20"/>
      <c r="K9" s="20"/>
      <c r="L9" s="20"/>
    </row>
    <row r="10" spans="1:12" ht="101.5" x14ac:dyDescent="0.35">
      <c r="B10" s="48">
        <v>1</v>
      </c>
      <c r="C10" s="49" t="s">
        <v>53</v>
      </c>
      <c r="D10" s="50" t="s">
        <v>54</v>
      </c>
      <c r="E10" s="50" t="s">
        <v>55</v>
      </c>
      <c r="F10" s="51" t="s">
        <v>56</v>
      </c>
      <c r="G10" s="65" t="s">
        <v>57</v>
      </c>
      <c r="H10" s="65" t="s">
        <v>57</v>
      </c>
      <c r="I10" s="65" t="s">
        <v>57</v>
      </c>
      <c r="J10" s="65" t="s">
        <v>57</v>
      </c>
      <c r="K10" s="65" t="s">
        <v>57</v>
      </c>
      <c r="L10" s="65" t="s">
        <v>57</v>
      </c>
    </row>
    <row r="11" spans="1:12" ht="43.5" x14ac:dyDescent="0.35">
      <c r="B11" s="48">
        <v>2</v>
      </c>
      <c r="C11" s="49" t="s">
        <v>58</v>
      </c>
      <c r="D11" s="50" t="s">
        <v>59</v>
      </c>
      <c r="E11" s="50" t="s">
        <v>59</v>
      </c>
      <c r="F11" s="51" t="s">
        <v>60</v>
      </c>
      <c r="G11" s="65" t="s">
        <v>57</v>
      </c>
      <c r="H11" s="65" t="s">
        <v>57</v>
      </c>
      <c r="I11" s="65" t="s">
        <v>57</v>
      </c>
      <c r="J11" s="65" t="s">
        <v>57</v>
      </c>
      <c r="K11" s="65" t="s">
        <v>57</v>
      </c>
      <c r="L11" s="65" t="s">
        <v>57</v>
      </c>
    </row>
    <row r="12" spans="1:12" ht="43.5" x14ac:dyDescent="0.35">
      <c r="B12" s="48">
        <v>3</v>
      </c>
      <c r="C12" s="49" t="s">
        <v>61</v>
      </c>
      <c r="D12" s="50" t="s">
        <v>62</v>
      </c>
      <c r="E12" s="50" t="s">
        <v>63</v>
      </c>
      <c r="F12" s="51" t="s">
        <v>64</v>
      </c>
      <c r="G12" s="65" t="s">
        <v>57</v>
      </c>
      <c r="H12" s="65" t="s">
        <v>57</v>
      </c>
      <c r="I12" s="65" t="s">
        <v>57</v>
      </c>
      <c r="J12" s="65" t="s">
        <v>57</v>
      </c>
      <c r="K12" s="65" t="s">
        <v>57</v>
      </c>
      <c r="L12" s="65" t="s">
        <v>57</v>
      </c>
    </row>
    <row r="13" spans="1:12" ht="130.5" x14ac:dyDescent="0.35">
      <c r="B13" s="48">
        <v>4</v>
      </c>
      <c r="C13" s="49" t="s">
        <v>65</v>
      </c>
      <c r="D13" s="50" t="s">
        <v>54</v>
      </c>
      <c r="E13" s="50" t="s">
        <v>66</v>
      </c>
      <c r="F13" s="51" t="s">
        <v>67</v>
      </c>
      <c r="G13" s="65" t="s">
        <v>57</v>
      </c>
      <c r="H13" s="65" t="s">
        <v>57</v>
      </c>
      <c r="I13" s="65" t="s">
        <v>57</v>
      </c>
      <c r="J13" s="65" t="s">
        <v>57</v>
      </c>
      <c r="K13" s="65" t="s">
        <v>57</v>
      </c>
      <c r="L13" s="65" t="s">
        <v>57</v>
      </c>
    </row>
    <row r="14" spans="1:12" ht="101.5" x14ac:dyDescent="0.35">
      <c r="B14" s="48">
        <v>5</v>
      </c>
      <c r="C14" s="49" t="s">
        <v>68</v>
      </c>
      <c r="D14" s="50" t="s">
        <v>69</v>
      </c>
      <c r="E14" s="50" t="s">
        <v>70</v>
      </c>
      <c r="F14" s="51" t="s">
        <v>71</v>
      </c>
      <c r="G14" s="65" t="s">
        <v>57</v>
      </c>
      <c r="H14" s="65" t="s">
        <v>57</v>
      </c>
      <c r="I14" s="65" t="s">
        <v>57</v>
      </c>
      <c r="J14" s="65" t="s">
        <v>57</v>
      </c>
      <c r="K14" s="65" t="s">
        <v>57</v>
      </c>
      <c r="L14" s="65" t="s">
        <v>57</v>
      </c>
    </row>
    <row r="15" spans="1:12" ht="159.5" x14ac:dyDescent="0.35">
      <c r="B15" s="48">
        <v>6</v>
      </c>
      <c r="C15" s="49" t="s">
        <v>72</v>
      </c>
      <c r="D15" s="50" t="s">
        <v>73</v>
      </c>
      <c r="E15" s="50" t="s">
        <v>74</v>
      </c>
      <c r="F15" s="51" t="s">
        <v>75</v>
      </c>
      <c r="G15" s="65" t="s">
        <v>57</v>
      </c>
      <c r="H15" s="65" t="s">
        <v>57</v>
      </c>
      <c r="I15" s="65" t="s">
        <v>57</v>
      </c>
      <c r="J15" s="65" t="s">
        <v>57</v>
      </c>
      <c r="K15" s="65" t="s">
        <v>57</v>
      </c>
      <c r="L15" s="65" t="s">
        <v>57</v>
      </c>
    </row>
    <row r="16" spans="1:12" ht="174" x14ac:dyDescent="0.35">
      <c r="B16" s="48">
        <v>7</v>
      </c>
      <c r="C16" s="49" t="s">
        <v>76</v>
      </c>
      <c r="D16" s="50" t="s">
        <v>73</v>
      </c>
      <c r="E16" s="50" t="s">
        <v>77</v>
      </c>
      <c r="F16" s="51" t="s">
        <v>78</v>
      </c>
      <c r="G16" s="65" t="s">
        <v>57</v>
      </c>
      <c r="H16" s="65" t="s">
        <v>57</v>
      </c>
      <c r="I16" s="65" t="s">
        <v>57</v>
      </c>
      <c r="J16" s="65" t="s">
        <v>57</v>
      </c>
      <c r="K16" s="65" t="s">
        <v>57</v>
      </c>
      <c r="L16" s="65" t="s">
        <v>57</v>
      </c>
    </row>
    <row r="17" spans="2:12" ht="58" x14ac:dyDescent="0.35">
      <c r="B17" s="48">
        <v>8</v>
      </c>
      <c r="C17" s="49" t="s">
        <v>79</v>
      </c>
      <c r="D17" s="50" t="s">
        <v>80</v>
      </c>
      <c r="E17" s="50" t="s">
        <v>81</v>
      </c>
      <c r="F17" s="51" t="s">
        <v>82</v>
      </c>
      <c r="G17" s="65" t="s">
        <v>57</v>
      </c>
      <c r="H17" s="65" t="s">
        <v>57</v>
      </c>
      <c r="I17" s="65" t="s">
        <v>57</v>
      </c>
      <c r="J17" s="65" t="s">
        <v>57</v>
      </c>
      <c r="K17" s="65" t="s">
        <v>57</v>
      </c>
      <c r="L17" s="65" t="s">
        <v>57</v>
      </c>
    </row>
    <row r="18" spans="2:12" ht="130.5" x14ac:dyDescent="0.35">
      <c r="B18" s="48">
        <v>9</v>
      </c>
      <c r="C18" s="49" t="s">
        <v>83</v>
      </c>
      <c r="D18" s="50" t="s">
        <v>54</v>
      </c>
      <c r="E18" s="50" t="s">
        <v>84</v>
      </c>
      <c r="F18" s="51" t="s">
        <v>82</v>
      </c>
      <c r="G18" s="65" t="s">
        <v>57</v>
      </c>
      <c r="H18" s="65" t="s">
        <v>57</v>
      </c>
      <c r="I18" s="65" t="s">
        <v>57</v>
      </c>
      <c r="J18" s="65" t="s">
        <v>57</v>
      </c>
      <c r="K18" s="65" t="s">
        <v>57</v>
      </c>
      <c r="L18" s="65" t="s">
        <v>57</v>
      </c>
    </row>
    <row r="19" spans="2:12" ht="43.5" x14ac:dyDescent="0.35">
      <c r="B19" s="48">
        <v>10</v>
      </c>
      <c r="C19" s="49" t="s">
        <v>85</v>
      </c>
      <c r="D19" s="50" t="s">
        <v>86</v>
      </c>
      <c r="E19" s="52" t="s">
        <v>87</v>
      </c>
      <c r="F19" s="53" t="s">
        <v>88</v>
      </c>
      <c r="G19" s="65" t="s">
        <v>57</v>
      </c>
      <c r="H19" s="65" t="s">
        <v>57</v>
      </c>
      <c r="I19" s="65" t="s">
        <v>57</v>
      </c>
      <c r="J19" s="65" t="s">
        <v>57</v>
      </c>
      <c r="K19" s="65" t="s">
        <v>57</v>
      </c>
      <c r="L19" s="65" t="s">
        <v>57</v>
      </c>
    </row>
    <row r="20" spans="2:12" x14ac:dyDescent="0.35">
      <c r="B20" s="133" t="s">
        <v>89</v>
      </c>
      <c r="C20" s="134"/>
      <c r="D20" s="134"/>
      <c r="E20" s="134"/>
      <c r="F20" s="135"/>
      <c r="G20" s="24"/>
      <c r="H20" s="24"/>
      <c r="I20" s="24"/>
      <c r="J20" s="24"/>
      <c r="K20" s="24"/>
      <c r="L20" s="24"/>
    </row>
    <row r="21" spans="2:12" ht="58" x14ac:dyDescent="0.35">
      <c r="B21" s="48">
        <f>B19+1</f>
        <v>11</v>
      </c>
      <c r="C21" s="49" t="s">
        <v>90</v>
      </c>
      <c r="D21" s="50" t="s">
        <v>91</v>
      </c>
      <c r="E21" s="50" t="s">
        <v>91</v>
      </c>
      <c r="F21" s="54" t="s">
        <v>92</v>
      </c>
      <c r="G21" s="65" t="s">
        <v>57</v>
      </c>
      <c r="H21" s="65" t="s">
        <v>57</v>
      </c>
      <c r="I21" s="65" t="s">
        <v>57</v>
      </c>
      <c r="J21" s="65" t="s">
        <v>57</v>
      </c>
      <c r="K21" s="65" t="s">
        <v>57</v>
      </c>
      <c r="L21" s="65" t="s">
        <v>57</v>
      </c>
    </row>
    <row r="22" spans="2:12" ht="58" x14ac:dyDescent="0.35">
      <c r="B22" s="48">
        <f>B21+1</f>
        <v>12</v>
      </c>
      <c r="C22" s="49" t="s">
        <v>93</v>
      </c>
      <c r="D22" s="50" t="s">
        <v>91</v>
      </c>
      <c r="E22" s="50" t="s">
        <v>91</v>
      </c>
      <c r="F22" s="54" t="s">
        <v>94</v>
      </c>
      <c r="G22" s="65" t="s">
        <v>57</v>
      </c>
      <c r="H22" s="65" t="s">
        <v>57</v>
      </c>
      <c r="I22" s="65" t="s">
        <v>57</v>
      </c>
      <c r="J22" s="65" t="s">
        <v>57</v>
      </c>
      <c r="K22" s="65" t="s">
        <v>57</v>
      </c>
      <c r="L22" s="65" t="s">
        <v>57</v>
      </c>
    </row>
    <row r="23" spans="2:12" ht="58" x14ac:dyDescent="0.35">
      <c r="B23" s="48">
        <f t="shared" ref="B23:B43" si="0">B22+1</f>
        <v>13</v>
      </c>
      <c r="C23" s="49" t="s">
        <v>95</v>
      </c>
      <c r="D23" s="50" t="s">
        <v>91</v>
      </c>
      <c r="E23" s="50" t="s">
        <v>91</v>
      </c>
      <c r="F23" s="54" t="s">
        <v>96</v>
      </c>
      <c r="G23" s="65" t="s">
        <v>57</v>
      </c>
      <c r="H23" s="65" t="s">
        <v>57</v>
      </c>
      <c r="I23" s="65" t="s">
        <v>57</v>
      </c>
      <c r="J23" s="65" t="s">
        <v>57</v>
      </c>
      <c r="K23" s="65" t="s">
        <v>57</v>
      </c>
      <c r="L23" s="65" t="s">
        <v>57</v>
      </c>
    </row>
    <row r="24" spans="2:12" ht="58" x14ac:dyDescent="0.35">
      <c r="B24" s="48">
        <f t="shared" si="0"/>
        <v>14</v>
      </c>
      <c r="C24" s="49" t="s">
        <v>97</v>
      </c>
      <c r="D24" s="50" t="s">
        <v>91</v>
      </c>
      <c r="E24" s="50" t="s">
        <v>91</v>
      </c>
      <c r="F24" s="51" t="s">
        <v>98</v>
      </c>
      <c r="G24" s="65" t="s">
        <v>57</v>
      </c>
      <c r="H24" s="65" t="s">
        <v>57</v>
      </c>
      <c r="I24" s="65" t="s">
        <v>57</v>
      </c>
      <c r="J24" s="65" t="s">
        <v>57</v>
      </c>
      <c r="K24" s="65" t="s">
        <v>57</v>
      </c>
      <c r="L24" s="65" t="s">
        <v>57</v>
      </c>
    </row>
    <row r="25" spans="2:12" ht="58" x14ac:dyDescent="0.35">
      <c r="B25" s="48">
        <f t="shared" si="0"/>
        <v>15</v>
      </c>
      <c r="C25" s="49" t="s">
        <v>99</v>
      </c>
      <c r="D25" s="50" t="s">
        <v>91</v>
      </c>
      <c r="E25" s="50" t="s">
        <v>91</v>
      </c>
      <c r="F25" s="51" t="s">
        <v>100</v>
      </c>
      <c r="G25" s="65" t="s">
        <v>57</v>
      </c>
      <c r="H25" s="65" t="s">
        <v>57</v>
      </c>
      <c r="I25" s="65" t="s">
        <v>57</v>
      </c>
      <c r="J25" s="65" t="s">
        <v>57</v>
      </c>
      <c r="K25" s="65" t="s">
        <v>57</v>
      </c>
      <c r="L25" s="65" t="s">
        <v>57</v>
      </c>
    </row>
    <row r="26" spans="2:12" ht="58" x14ac:dyDescent="0.35">
      <c r="B26" s="48">
        <f t="shared" si="0"/>
        <v>16</v>
      </c>
      <c r="C26" s="49" t="s">
        <v>101</v>
      </c>
      <c r="D26" s="50" t="s">
        <v>91</v>
      </c>
      <c r="E26" s="50" t="s">
        <v>91</v>
      </c>
      <c r="F26" s="51" t="s">
        <v>102</v>
      </c>
      <c r="G26" s="65" t="s">
        <v>57</v>
      </c>
      <c r="H26" s="65" t="s">
        <v>57</v>
      </c>
      <c r="I26" s="65" t="s">
        <v>57</v>
      </c>
      <c r="J26" s="65" t="s">
        <v>57</v>
      </c>
      <c r="K26" s="65" t="s">
        <v>57</v>
      </c>
      <c r="L26" s="65" t="s">
        <v>57</v>
      </c>
    </row>
    <row r="27" spans="2:12" ht="58" x14ac:dyDescent="0.35">
      <c r="B27" s="48">
        <f t="shared" si="0"/>
        <v>17</v>
      </c>
      <c r="C27" s="49" t="s">
        <v>103</v>
      </c>
      <c r="D27" s="50" t="s">
        <v>91</v>
      </c>
      <c r="E27" s="50" t="s">
        <v>91</v>
      </c>
      <c r="F27" s="49" t="s">
        <v>104</v>
      </c>
      <c r="G27" s="65" t="s">
        <v>57</v>
      </c>
      <c r="H27" s="65" t="s">
        <v>57</v>
      </c>
      <c r="I27" s="65" t="s">
        <v>57</v>
      </c>
      <c r="J27" s="65" t="s">
        <v>57</v>
      </c>
      <c r="K27" s="65" t="s">
        <v>57</v>
      </c>
      <c r="L27" s="65" t="s">
        <v>57</v>
      </c>
    </row>
    <row r="28" spans="2:12" ht="43.5" x14ac:dyDescent="0.35">
      <c r="B28" s="48">
        <f t="shared" si="0"/>
        <v>18</v>
      </c>
      <c r="C28" s="49" t="s">
        <v>105</v>
      </c>
      <c r="D28" s="50" t="s">
        <v>54</v>
      </c>
      <c r="E28" s="50" t="s">
        <v>106</v>
      </c>
      <c r="F28" s="51" t="s">
        <v>107</v>
      </c>
      <c r="G28" s="65" t="s">
        <v>57</v>
      </c>
      <c r="H28" s="65" t="s">
        <v>57</v>
      </c>
      <c r="I28" s="65" t="s">
        <v>57</v>
      </c>
      <c r="J28" s="65" t="s">
        <v>57</v>
      </c>
      <c r="K28" s="65" t="s">
        <v>57</v>
      </c>
      <c r="L28" s="65" t="s">
        <v>57</v>
      </c>
    </row>
    <row r="29" spans="2:12" ht="58" x14ac:dyDescent="0.35">
      <c r="B29" s="48">
        <f t="shared" si="0"/>
        <v>19</v>
      </c>
      <c r="C29" s="49" t="s">
        <v>108</v>
      </c>
      <c r="D29" s="50" t="s">
        <v>91</v>
      </c>
      <c r="E29" s="50" t="s">
        <v>91</v>
      </c>
      <c r="F29" s="54" t="s">
        <v>96</v>
      </c>
      <c r="G29" s="65" t="s">
        <v>57</v>
      </c>
      <c r="H29" s="65" t="s">
        <v>57</v>
      </c>
      <c r="I29" s="65" t="s">
        <v>57</v>
      </c>
      <c r="J29" s="65" t="s">
        <v>57</v>
      </c>
      <c r="K29" s="65" t="s">
        <v>57</v>
      </c>
      <c r="L29" s="65" t="s">
        <v>57</v>
      </c>
    </row>
    <row r="30" spans="2:12" ht="58" x14ac:dyDescent="0.35">
      <c r="B30" s="48">
        <f t="shared" si="0"/>
        <v>20</v>
      </c>
      <c r="C30" s="49" t="s">
        <v>109</v>
      </c>
      <c r="D30" s="50" t="s">
        <v>91</v>
      </c>
      <c r="E30" s="50" t="s">
        <v>91</v>
      </c>
      <c r="F30" s="54" t="s">
        <v>96</v>
      </c>
      <c r="G30" s="65" t="s">
        <v>57</v>
      </c>
      <c r="H30" s="65" t="s">
        <v>57</v>
      </c>
      <c r="I30" s="65" t="s">
        <v>57</v>
      </c>
      <c r="J30" s="65" t="s">
        <v>57</v>
      </c>
      <c r="K30" s="65" t="s">
        <v>57</v>
      </c>
      <c r="L30" s="65" t="s">
        <v>57</v>
      </c>
    </row>
    <row r="31" spans="2:12" ht="58" x14ac:dyDescent="0.35">
      <c r="B31" s="48">
        <f t="shared" si="0"/>
        <v>21</v>
      </c>
      <c r="C31" s="49" t="s">
        <v>110</v>
      </c>
      <c r="D31" s="50" t="s">
        <v>91</v>
      </c>
      <c r="E31" s="50" t="s">
        <v>91</v>
      </c>
      <c r="F31" s="51" t="s">
        <v>111</v>
      </c>
      <c r="G31" s="65" t="s">
        <v>57</v>
      </c>
      <c r="H31" s="65" t="s">
        <v>57</v>
      </c>
      <c r="I31" s="65" t="s">
        <v>57</v>
      </c>
      <c r="J31" s="65" t="s">
        <v>57</v>
      </c>
      <c r="K31" s="65" t="s">
        <v>57</v>
      </c>
      <c r="L31" s="65" t="s">
        <v>57</v>
      </c>
    </row>
    <row r="32" spans="2:12" ht="58" x14ac:dyDescent="0.35">
      <c r="B32" s="48">
        <f t="shared" si="0"/>
        <v>22</v>
      </c>
      <c r="C32" s="49" t="s">
        <v>112</v>
      </c>
      <c r="D32" s="50" t="s">
        <v>54</v>
      </c>
      <c r="E32" s="50" t="s">
        <v>106</v>
      </c>
      <c r="F32" s="51" t="s">
        <v>107</v>
      </c>
      <c r="G32" s="65" t="s">
        <v>57</v>
      </c>
      <c r="H32" s="65" t="s">
        <v>57</v>
      </c>
      <c r="I32" s="65" t="s">
        <v>57</v>
      </c>
      <c r="J32" s="65" t="s">
        <v>57</v>
      </c>
      <c r="K32" s="65" t="s">
        <v>57</v>
      </c>
      <c r="L32" s="65" t="s">
        <v>57</v>
      </c>
    </row>
    <row r="33" spans="1:12" ht="29" x14ac:dyDescent="0.35">
      <c r="B33" s="48">
        <f t="shared" si="0"/>
        <v>23</v>
      </c>
      <c r="C33" s="55" t="s">
        <v>113</v>
      </c>
      <c r="D33" s="50" t="s">
        <v>54</v>
      </c>
      <c r="E33" s="50" t="s">
        <v>114</v>
      </c>
      <c r="F33" s="51" t="s">
        <v>115</v>
      </c>
      <c r="G33" s="65" t="s">
        <v>57</v>
      </c>
      <c r="H33" s="65" t="s">
        <v>57</v>
      </c>
      <c r="I33" s="65" t="s">
        <v>57</v>
      </c>
      <c r="J33" s="65" t="s">
        <v>57</v>
      </c>
      <c r="K33" s="65" t="s">
        <v>57</v>
      </c>
      <c r="L33" s="65" t="s">
        <v>57</v>
      </c>
    </row>
    <row r="34" spans="1:12" ht="43.5" x14ac:dyDescent="0.35">
      <c r="B34" s="48">
        <f t="shared" si="0"/>
        <v>24</v>
      </c>
      <c r="C34" s="49" t="s">
        <v>116</v>
      </c>
      <c r="D34" s="50" t="s">
        <v>73</v>
      </c>
      <c r="E34" s="50" t="s">
        <v>106</v>
      </c>
      <c r="F34" s="51" t="s">
        <v>117</v>
      </c>
      <c r="G34" s="65" t="s">
        <v>57</v>
      </c>
      <c r="H34" s="65" t="s">
        <v>57</v>
      </c>
      <c r="I34" s="65" t="s">
        <v>57</v>
      </c>
      <c r="J34" s="65" t="s">
        <v>57</v>
      </c>
      <c r="K34" s="65" t="s">
        <v>57</v>
      </c>
      <c r="L34" s="65" t="s">
        <v>57</v>
      </c>
    </row>
    <row r="35" spans="1:12" ht="74.5" customHeight="1" x14ac:dyDescent="0.35">
      <c r="B35" s="48">
        <f t="shared" si="0"/>
        <v>25</v>
      </c>
      <c r="C35" s="49" t="s">
        <v>118</v>
      </c>
      <c r="D35" s="50" t="s">
        <v>91</v>
      </c>
      <c r="E35" s="50" t="s">
        <v>91</v>
      </c>
      <c r="F35" s="51" t="s">
        <v>111</v>
      </c>
      <c r="G35" s="65" t="s">
        <v>57</v>
      </c>
      <c r="H35" s="65" t="s">
        <v>57</v>
      </c>
      <c r="I35" s="65" t="s">
        <v>57</v>
      </c>
      <c r="J35" s="65" t="s">
        <v>57</v>
      </c>
      <c r="K35" s="65" t="s">
        <v>57</v>
      </c>
      <c r="L35" s="65" t="s">
        <v>57</v>
      </c>
    </row>
    <row r="36" spans="1:12" ht="43.5" x14ac:dyDescent="0.35">
      <c r="B36" s="48">
        <f t="shared" si="0"/>
        <v>26</v>
      </c>
      <c r="C36" s="49" t="s">
        <v>119</v>
      </c>
      <c r="D36" s="50" t="s">
        <v>73</v>
      </c>
      <c r="E36" s="50" t="s">
        <v>106</v>
      </c>
      <c r="F36" s="51" t="s">
        <v>107</v>
      </c>
      <c r="G36" s="65" t="s">
        <v>57</v>
      </c>
      <c r="H36" s="65" t="s">
        <v>57</v>
      </c>
      <c r="I36" s="65" t="s">
        <v>57</v>
      </c>
      <c r="J36" s="65" t="s">
        <v>57</v>
      </c>
      <c r="K36" s="65" t="s">
        <v>57</v>
      </c>
      <c r="L36" s="65" t="s">
        <v>57</v>
      </c>
    </row>
    <row r="37" spans="1:12" ht="29" x14ac:dyDescent="0.35">
      <c r="B37" s="48">
        <f t="shared" si="0"/>
        <v>27</v>
      </c>
      <c r="C37" s="49" t="s">
        <v>120</v>
      </c>
      <c r="D37" s="50" t="s">
        <v>54</v>
      </c>
      <c r="E37" s="50" t="s">
        <v>121</v>
      </c>
      <c r="F37" s="51" t="s">
        <v>107</v>
      </c>
      <c r="G37" s="65" t="s">
        <v>57</v>
      </c>
      <c r="H37" s="65" t="s">
        <v>57</v>
      </c>
      <c r="I37" s="65" t="s">
        <v>57</v>
      </c>
      <c r="J37" s="65" t="s">
        <v>57</v>
      </c>
      <c r="K37" s="65" t="s">
        <v>57</v>
      </c>
      <c r="L37" s="65" t="s">
        <v>57</v>
      </c>
    </row>
    <row r="38" spans="1:12" ht="87" x14ac:dyDescent="0.35">
      <c r="B38" s="48">
        <f t="shared" si="0"/>
        <v>28</v>
      </c>
      <c r="C38" s="49" t="s">
        <v>122</v>
      </c>
      <c r="D38" s="50" t="s">
        <v>123</v>
      </c>
      <c r="E38" s="56" t="s">
        <v>124</v>
      </c>
      <c r="F38" s="51" t="s">
        <v>125</v>
      </c>
      <c r="G38" s="65" t="s">
        <v>57</v>
      </c>
      <c r="H38" s="65" t="s">
        <v>57</v>
      </c>
      <c r="I38" s="65" t="s">
        <v>57</v>
      </c>
      <c r="J38" s="65" t="s">
        <v>57</v>
      </c>
      <c r="K38" s="65" t="s">
        <v>57</v>
      </c>
      <c r="L38" s="65" t="s">
        <v>57</v>
      </c>
    </row>
    <row r="39" spans="1:12" ht="87" x14ac:dyDescent="0.35">
      <c r="B39" s="48">
        <f t="shared" si="0"/>
        <v>29</v>
      </c>
      <c r="C39" s="49" t="s">
        <v>126</v>
      </c>
      <c r="D39" s="50" t="s">
        <v>123</v>
      </c>
      <c r="E39" s="50" t="s">
        <v>106</v>
      </c>
      <c r="F39" s="51" t="s">
        <v>125</v>
      </c>
      <c r="G39" s="65" t="s">
        <v>57</v>
      </c>
      <c r="H39" s="65" t="s">
        <v>57</v>
      </c>
      <c r="I39" s="65" t="s">
        <v>57</v>
      </c>
      <c r="J39" s="65" t="s">
        <v>57</v>
      </c>
      <c r="K39" s="65" t="s">
        <v>57</v>
      </c>
      <c r="L39" s="65" t="s">
        <v>57</v>
      </c>
    </row>
    <row r="40" spans="1:12" ht="58" x14ac:dyDescent="0.35">
      <c r="B40" s="48">
        <f t="shared" si="0"/>
        <v>30</v>
      </c>
      <c r="C40" s="49" t="s">
        <v>127</v>
      </c>
      <c r="D40" s="50" t="s">
        <v>123</v>
      </c>
      <c r="E40" s="50" t="s">
        <v>106</v>
      </c>
      <c r="F40" s="54" t="s">
        <v>128</v>
      </c>
      <c r="G40" s="65" t="s">
        <v>57</v>
      </c>
      <c r="H40" s="65" t="s">
        <v>57</v>
      </c>
      <c r="I40" s="65" t="s">
        <v>57</v>
      </c>
      <c r="J40" s="65" t="s">
        <v>57</v>
      </c>
      <c r="K40" s="65" t="s">
        <v>57</v>
      </c>
      <c r="L40" s="65" t="s">
        <v>57</v>
      </c>
    </row>
    <row r="41" spans="1:12" ht="116" x14ac:dyDescent="0.35">
      <c r="B41" s="48">
        <f t="shared" si="0"/>
        <v>31</v>
      </c>
      <c r="C41" s="49" t="s">
        <v>129</v>
      </c>
      <c r="D41" s="50" t="s">
        <v>91</v>
      </c>
      <c r="E41" s="50" t="s">
        <v>130</v>
      </c>
      <c r="F41" s="100" t="s">
        <v>131</v>
      </c>
      <c r="G41" s="65" t="s">
        <v>57</v>
      </c>
      <c r="H41" s="65" t="s">
        <v>57</v>
      </c>
      <c r="I41" s="65" t="s">
        <v>57</v>
      </c>
      <c r="J41" s="65" t="s">
        <v>57</v>
      </c>
      <c r="K41" s="65" t="s">
        <v>57</v>
      </c>
      <c r="L41" s="65" t="s">
        <v>57</v>
      </c>
    </row>
    <row r="42" spans="1:12" ht="159.5" x14ac:dyDescent="0.35">
      <c r="B42" s="48">
        <f t="shared" si="0"/>
        <v>32</v>
      </c>
      <c r="C42" s="57" t="s">
        <v>132</v>
      </c>
      <c r="D42" s="50" t="s">
        <v>86</v>
      </c>
      <c r="E42" s="50" t="s">
        <v>133</v>
      </c>
      <c r="F42" s="102" t="s">
        <v>134</v>
      </c>
      <c r="G42" s="65" t="s">
        <v>57</v>
      </c>
      <c r="H42" s="65" t="s">
        <v>57</v>
      </c>
      <c r="I42" s="65" t="s">
        <v>57</v>
      </c>
      <c r="J42" s="65" t="s">
        <v>57</v>
      </c>
      <c r="K42" s="65" t="s">
        <v>57</v>
      </c>
      <c r="L42" s="65" t="s">
        <v>57</v>
      </c>
    </row>
    <row r="43" spans="1:12" ht="29" x14ac:dyDescent="0.35">
      <c r="B43" s="48">
        <f t="shared" si="0"/>
        <v>33</v>
      </c>
      <c r="C43" s="49" t="s">
        <v>135</v>
      </c>
      <c r="D43" s="50" t="s">
        <v>54</v>
      </c>
      <c r="E43" s="50" t="s">
        <v>136</v>
      </c>
      <c r="F43" s="51" t="s">
        <v>137</v>
      </c>
      <c r="G43" s="65" t="s">
        <v>57</v>
      </c>
      <c r="H43" s="65" t="s">
        <v>57</v>
      </c>
      <c r="I43" s="65" t="s">
        <v>57</v>
      </c>
      <c r="J43" s="65" t="s">
        <v>57</v>
      </c>
      <c r="K43" s="65" t="s">
        <v>57</v>
      </c>
      <c r="L43" s="65" t="s">
        <v>57</v>
      </c>
    </row>
    <row r="44" spans="1:12" ht="58" x14ac:dyDescent="0.35">
      <c r="B44" s="48">
        <v>34</v>
      </c>
      <c r="C44" s="100" t="s">
        <v>138</v>
      </c>
      <c r="D44" s="101" t="s">
        <v>139</v>
      </c>
      <c r="E44" s="101" t="s">
        <v>139</v>
      </c>
      <c r="F44" s="54" t="s">
        <v>140</v>
      </c>
      <c r="G44" s="65" t="s">
        <v>57</v>
      </c>
      <c r="H44" s="65" t="s">
        <v>57</v>
      </c>
      <c r="I44" s="65" t="s">
        <v>57</v>
      </c>
      <c r="J44" s="65" t="s">
        <v>57</v>
      </c>
      <c r="K44" s="65" t="s">
        <v>57</v>
      </c>
      <c r="L44" s="65" t="s">
        <v>57</v>
      </c>
    </row>
    <row r="45" spans="1:12" ht="130.5" x14ac:dyDescent="0.35">
      <c r="A45" t="s">
        <v>141</v>
      </c>
      <c r="B45" s="48">
        <v>35</v>
      </c>
      <c r="C45" s="49" t="s">
        <v>142</v>
      </c>
      <c r="D45" s="50" t="s">
        <v>54</v>
      </c>
      <c r="E45" s="50" t="s">
        <v>143</v>
      </c>
      <c r="F45" s="51" t="s">
        <v>144</v>
      </c>
      <c r="G45" s="65" t="s">
        <v>57</v>
      </c>
      <c r="H45" s="65" t="s">
        <v>57</v>
      </c>
      <c r="I45" s="65" t="s">
        <v>57</v>
      </c>
      <c r="J45" s="65" t="s">
        <v>57</v>
      </c>
      <c r="K45" s="65" t="s">
        <v>57</v>
      </c>
      <c r="L45" s="65" t="s">
        <v>57</v>
      </c>
    </row>
    <row r="46" spans="1:12" x14ac:dyDescent="0.35">
      <c r="B46" s="94" t="s">
        <v>145</v>
      </c>
      <c r="C46" s="58"/>
      <c r="D46" s="58"/>
      <c r="E46" s="58"/>
      <c r="F46" s="58"/>
      <c r="G46" s="24"/>
      <c r="H46" s="24"/>
      <c r="I46" s="25"/>
      <c r="J46" s="25"/>
      <c r="K46" s="25"/>
      <c r="L46" s="25"/>
    </row>
    <row r="47" spans="1:12" ht="58" x14ac:dyDescent="0.35">
      <c r="B47" s="48">
        <f>B45+1</f>
        <v>36</v>
      </c>
      <c r="C47" s="49" t="s">
        <v>146</v>
      </c>
      <c r="D47" s="50" t="s">
        <v>147</v>
      </c>
      <c r="E47" s="50" t="s">
        <v>148</v>
      </c>
      <c r="F47" s="49" t="s">
        <v>149</v>
      </c>
      <c r="G47" s="65" t="s">
        <v>57</v>
      </c>
      <c r="H47" s="65" t="s">
        <v>57</v>
      </c>
      <c r="I47" s="65" t="s">
        <v>57</v>
      </c>
      <c r="J47" s="65" t="s">
        <v>57</v>
      </c>
      <c r="K47" s="65" t="s">
        <v>57</v>
      </c>
      <c r="L47" s="65" t="s">
        <v>57</v>
      </c>
    </row>
    <row r="48" spans="1:12" ht="58" x14ac:dyDescent="0.35">
      <c r="B48" s="48">
        <f>B47+1</f>
        <v>37</v>
      </c>
      <c r="C48" s="49" t="s">
        <v>150</v>
      </c>
      <c r="D48" s="50" t="s">
        <v>147</v>
      </c>
      <c r="E48" s="50" t="s">
        <v>148</v>
      </c>
      <c r="F48" s="49" t="s">
        <v>151</v>
      </c>
      <c r="G48" s="65" t="s">
        <v>57</v>
      </c>
      <c r="H48" s="65" t="s">
        <v>57</v>
      </c>
      <c r="I48" s="65" t="s">
        <v>57</v>
      </c>
      <c r="J48" s="65" t="s">
        <v>57</v>
      </c>
      <c r="K48" s="65" t="s">
        <v>57</v>
      </c>
      <c r="L48" s="65" t="s">
        <v>57</v>
      </c>
    </row>
    <row r="49" spans="2:12" ht="58" x14ac:dyDescent="0.35">
      <c r="B49" s="48">
        <f>B48+1</f>
        <v>38</v>
      </c>
      <c r="C49" s="55" t="s">
        <v>152</v>
      </c>
      <c r="D49" s="50" t="s">
        <v>147</v>
      </c>
      <c r="E49" s="59" t="s">
        <v>153</v>
      </c>
      <c r="F49" s="55" t="s">
        <v>154</v>
      </c>
      <c r="G49" s="65" t="s">
        <v>57</v>
      </c>
      <c r="H49" s="65" t="s">
        <v>57</v>
      </c>
      <c r="I49" s="65" t="s">
        <v>57</v>
      </c>
      <c r="J49" s="65" t="s">
        <v>57</v>
      </c>
      <c r="K49" s="65" t="s">
        <v>57</v>
      </c>
      <c r="L49" s="65" t="s">
        <v>57</v>
      </c>
    </row>
    <row r="50" spans="2:12" x14ac:dyDescent="0.35">
      <c r="B50" s="60" t="s">
        <v>155</v>
      </c>
      <c r="C50" s="61"/>
      <c r="D50" s="61"/>
      <c r="E50" s="62"/>
      <c r="F50" s="63"/>
      <c r="G50" s="25"/>
      <c r="H50" s="25"/>
      <c r="I50" s="25"/>
      <c r="J50" s="25"/>
      <c r="K50" s="25"/>
      <c r="L50" s="25"/>
    </row>
    <row r="51" spans="2:12" ht="145" x14ac:dyDescent="0.35">
      <c r="B51" s="48">
        <f>B49+1</f>
        <v>39</v>
      </c>
      <c r="C51" s="49" t="s">
        <v>156</v>
      </c>
      <c r="D51" s="59" t="s">
        <v>86</v>
      </c>
      <c r="E51" s="50" t="s">
        <v>157</v>
      </c>
      <c r="F51" s="49" t="s">
        <v>158</v>
      </c>
      <c r="G51" s="65" t="s">
        <v>57</v>
      </c>
      <c r="H51" s="65" t="s">
        <v>57</v>
      </c>
      <c r="I51" s="65" t="s">
        <v>57</v>
      </c>
      <c r="J51" s="65" t="s">
        <v>57</v>
      </c>
      <c r="K51" s="65" t="s">
        <v>57</v>
      </c>
      <c r="L51" s="65" t="s">
        <v>57</v>
      </c>
    </row>
    <row r="52" spans="2:12" ht="116" x14ac:dyDescent="0.35">
      <c r="B52" s="48">
        <f>B51+1</f>
        <v>40</v>
      </c>
      <c r="C52" s="49" t="s">
        <v>159</v>
      </c>
      <c r="D52" s="59" t="s">
        <v>86</v>
      </c>
      <c r="E52" s="50" t="s">
        <v>160</v>
      </c>
      <c r="F52" s="49" t="s">
        <v>158</v>
      </c>
      <c r="G52" s="65" t="s">
        <v>57</v>
      </c>
      <c r="H52" s="65" t="s">
        <v>57</v>
      </c>
      <c r="I52" s="65" t="s">
        <v>57</v>
      </c>
      <c r="J52" s="65" t="s">
        <v>57</v>
      </c>
      <c r="K52" s="65" t="s">
        <v>57</v>
      </c>
      <c r="L52" s="65" t="s">
        <v>57</v>
      </c>
    </row>
    <row r="53" spans="2:12" ht="116" x14ac:dyDescent="0.35">
      <c r="B53" s="48">
        <f t="shared" ref="B53:B55" si="1">B52+1</f>
        <v>41</v>
      </c>
      <c r="C53" s="49" t="s">
        <v>161</v>
      </c>
      <c r="D53" s="59" t="s">
        <v>86</v>
      </c>
      <c r="E53" s="50" t="s">
        <v>162</v>
      </c>
      <c r="F53" s="49" t="s">
        <v>158</v>
      </c>
      <c r="G53" s="65" t="s">
        <v>57</v>
      </c>
      <c r="H53" s="65" t="s">
        <v>57</v>
      </c>
      <c r="I53" s="65" t="s">
        <v>57</v>
      </c>
      <c r="J53" s="65" t="s">
        <v>57</v>
      </c>
      <c r="K53" s="65" t="s">
        <v>57</v>
      </c>
      <c r="L53" s="65" t="s">
        <v>57</v>
      </c>
    </row>
    <row r="54" spans="2:12" ht="116" x14ac:dyDescent="0.35">
      <c r="B54" s="48">
        <f t="shared" si="1"/>
        <v>42</v>
      </c>
      <c r="C54" s="49" t="s">
        <v>163</v>
      </c>
      <c r="D54" s="59" t="s">
        <v>86</v>
      </c>
      <c r="E54" s="50" t="s">
        <v>164</v>
      </c>
      <c r="F54" s="49" t="s">
        <v>158</v>
      </c>
      <c r="G54" s="65" t="s">
        <v>57</v>
      </c>
      <c r="H54" s="65" t="s">
        <v>57</v>
      </c>
      <c r="I54" s="65" t="s">
        <v>57</v>
      </c>
      <c r="J54" s="65" t="s">
        <v>57</v>
      </c>
      <c r="K54" s="65" t="s">
        <v>57</v>
      </c>
      <c r="L54" s="65" t="s">
        <v>57</v>
      </c>
    </row>
    <row r="55" spans="2:12" ht="130.5" x14ac:dyDescent="0.35">
      <c r="B55" s="48">
        <f t="shared" si="1"/>
        <v>43</v>
      </c>
      <c r="C55" s="49" t="s">
        <v>165</v>
      </c>
      <c r="D55" s="59" t="s">
        <v>86</v>
      </c>
      <c r="E55" s="50" t="s">
        <v>166</v>
      </c>
      <c r="F55" s="49" t="s">
        <v>158</v>
      </c>
      <c r="G55" s="65" t="s">
        <v>57</v>
      </c>
      <c r="H55" s="65" t="s">
        <v>57</v>
      </c>
      <c r="I55" s="65" t="s">
        <v>57</v>
      </c>
      <c r="J55" s="65" t="s">
        <v>57</v>
      </c>
      <c r="K55" s="65" t="s">
        <v>57</v>
      </c>
      <c r="L55" s="65" t="s">
        <v>57</v>
      </c>
    </row>
    <row r="56" spans="2:12" x14ac:dyDescent="0.35">
      <c r="B56" s="16"/>
      <c r="C56" s="64"/>
      <c r="D56" s="64"/>
      <c r="E56" s="64"/>
      <c r="F56" s="64"/>
      <c r="G56" s="14"/>
      <c r="H56" s="14"/>
      <c r="I56" s="14"/>
      <c r="J56" s="14"/>
      <c r="K56" s="14"/>
      <c r="L56" s="14"/>
    </row>
    <row r="57" spans="2:12" x14ac:dyDescent="0.35">
      <c r="B57" s="16"/>
      <c r="C57" s="64"/>
      <c r="D57" s="64"/>
      <c r="E57" s="64"/>
      <c r="F57" s="64"/>
      <c r="G57" s="14"/>
      <c r="H57" s="14"/>
      <c r="I57" s="14"/>
      <c r="J57" s="14"/>
      <c r="K57" s="14"/>
      <c r="L57" s="14"/>
    </row>
  </sheetData>
  <sheetProtection algorithmName="SHA-512" hashValue="oqFXQnpxcNoU1J0nv1Ji6OV9q0fy1LgUTNqH2sK3KI4JRIw0+a5a04ycYO58qdlOUB2LF3bHYiBVJ/hBcjDnzQ==" saltValue="Ow9CMxlszgqXe33kvO1aSw==" spinCount="100000" sheet="1" formatCells="0" formatColumns="0" formatRows="0" insertColumns="0" insertRows="0"/>
  <mergeCells count="6">
    <mergeCell ref="B2:F2"/>
    <mergeCell ref="B4:F4"/>
    <mergeCell ref="B7:F7"/>
    <mergeCell ref="B9:F9"/>
    <mergeCell ref="B20:F20"/>
    <mergeCell ref="B3:F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0640D-13E8-4678-8E95-DD70BEFB6633}">
  <sheetPr>
    <pageSetUpPr fitToPage="1"/>
  </sheetPr>
  <dimension ref="A1:Q113"/>
  <sheetViews>
    <sheetView zoomScale="60" zoomScaleNormal="60" workbookViewId="0">
      <selection activeCell="B2" sqref="B2:C2"/>
    </sheetView>
  </sheetViews>
  <sheetFormatPr defaultColWidth="9.26953125" defaultRowHeight="14.5" zeroHeight="1" x14ac:dyDescent="0.35"/>
  <cols>
    <col min="1" max="1" width="5.26953125" style="89" customWidth="1"/>
    <col min="2" max="2" width="11.7265625" style="70" customWidth="1"/>
    <col min="3" max="3" width="143.54296875" style="26" customWidth="1"/>
    <col min="4" max="4" width="54" style="67" customWidth="1"/>
    <col min="5" max="5" width="48.7265625" style="67" customWidth="1"/>
    <col min="6" max="6" width="13.7265625" style="15" customWidth="1"/>
    <col min="7" max="7" width="14.7265625" style="15" customWidth="1"/>
    <col min="8" max="8" width="13.7265625" style="15" customWidth="1"/>
    <col min="9" max="9" width="14.7265625" style="15" customWidth="1"/>
    <col min="10" max="10" width="13.7265625" style="15" customWidth="1"/>
    <col min="11" max="11" width="14.7265625" style="15" customWidth="1"/>
    <col min="12" max="12" width="13.7265625" style="15" customWidth="1"/>
    <col min="13" max="13" width="14.7265625" style="15" customWidth="1"/>
    <col min="14" max="14" width="13.7265625" style="15" customWidth="1"/>
    <col min="15" max="15" width="14.7265625" style="15" customWidth="1"/>
    <col min="16" max="16" width="17.1796875" style="15" customWidth="1"/>
    <col min="17" max="17" width="14.7265625" style="15" customWidth="1"/>
    <col min="18" max="16384" width="9.26953125" style="14"/>
  </cols>
  <sheetData>
    <row r="1" spans="1:17" x14ac:dyDescent="0.35"/>
    <row r="2" spans="1:17" ht="25" x14ac:dyDescent="0.5">
      <c r="B2" s="140" t="s">
        <v>167</v>
      </c>
      <c r="C2" s="141"/>
    </row>
    <row r="3" spans="1:17" ht="67.5" customHeight="1" x14ac:dyDescent="0.35">
      <c r="B3" s="142" t="s">
        <v>168</v>
      </c>
      <c r="C3" s="143"/>
      <c r="D3" s="68"/>
      <c r="Q3" s="14"/>
    </row>
    <row r="4" spans="1:17" ht="80.150000000000006" customHeight="1" x14ac:dyDescent="0.35">
      <c r="B4" s="143"/>
      <c r="C4" s="143"/>
      <c r="E4" s="69"/>
      <c r="F4" s="138" t="s">
        <v>37</v>
      </c>
      <c r="G4" s="139"/>
      <c r="H4" s="138" t="s">
        <v>38</v>
      </c>
      <c r="I4" s="139"/>
      <c r="J4" s="138" t="s">
        <v>39</v>
      </c>
      <c r="K4" s="139"/>
      <c r="L4" s="138" t="s">
        <v>40</v>
      </c>
      <c r="M4" s="139"/>
      <c r="N4" s="138" t="s">
        <v>41</v>
      </c>
      <c r="O4" s="139"/>
      <c r="P4" s="138" t="s">
        <v>169</v>
      </c>
      <c r="Q4" s="139"/>
    </row>
    <row r="5" spans="1:17" ht="15" customHeight="1" x14ac:dyDescent="0.35">
      <c r="E5" s="69"/>
      <c r="F5" s="137" t="s">
        <v>44</v>
      </c>
      <c r="G5" s="137"/>
      <c r="H5" s="137" t="s">
        <v>45</v>
      </c>
      <c r="I5" s="137"/>
      <c r="J5" s="137" t="s">
        <v>46</v>
      </c>
      <c r="K5" s="137"/>
      <c r="L5" s="137" t="s">
        <v>47</v>
      </c>
      <c r="M5" s="137"/>
      <c r="N5" s="137" t="s">
        <v>48</v>
      </c>
      <c r="O5" s="137"/>
      <c r="P5" s="137" t="s">
        <v>49</v>
      </c>
      <c r="Q5" s="137"/>
    </row>
    <row r="6" spans="1:17" ht="15" customHeight="1" x14ac:dyDescent="0.35">
      <c r="E6" s="69"/>
      <c r="F6" s="137" t="s">
        <v>170</v>
      </c>
      <c r="G6" s="137"/>
      <c r="H6" s="137" t="s">
        <v>170</v>
      </c>
      <c r="I6" s="137"/>
      <c r="J6" s="137" t="s">
        <v>170</v>
      </c>
      <c r="K6" s="137"/>
      <c r="L6" s="137" t="s">
        <v>170</v>
      </c>
      <c r="M6" s="137"/>
      <c r="N6" s="137" t="s">
        <v>170</v>
      </c>
      <c r="O6" s="137"/>
      <c r="P6" s="137" t="s">
        <v>170</v>
      </c>
      <c r="Q6" s="137"/>
    </row>
    <row r="7" spans="1:17" ht="32.5" customHeight="1" x14ac:dyDescent="0.35">
      <c r="A7" s="44" t="s">
        <v>32</v>
      </c>
      <c r="B7" s="71" t="s">
        <v>171</v>
      </c>
      <c r="C7" s="71" t="s">
        <v>172</v>
      </c>
      <c r="D7" s="44" t="s">
        <v>34</v>
      </c>
      <c r="E7" s="44" t="s">
        <v>36</v>
      </c>
      <c r="F7" s="66" t="s">
        <v>173</v>
      </c>
      <c r="G7" s="66" t="s">
        <v>174</v>
      </c>
      <c r="H7" s="66" t="s">
        <v>173</v>
      </c>
      <c r="I7" s="66" t="s">
        <v>174</v>
      </c>
      <c r="J7" s="66" t="s">
        <v>173</v>
      </c>
      <c r="K7" s="66" t="s">
        <v>174</v>
      </c>
      <c r="L7" s="66" t="s">
        <v>173</v>
      </c>
      <c r="M7" s="66" t="s">
        <v>174</v>
      </c>
      <c r="N7" s="66" t="s">
        <v>173</v>
      </c>
      <c r="O7" s="66" t="s">
        <v>174</v>
      </c>
      <c r="P7" s="66" t="s">
        <v>173</v>
      </c>
      <c r="Q7" s="66" t="s">
        <v>174</v>
      </c>
    </row>
    <row r="8" spans="1:17" x14ac:dyDescent="0.35">
      <c r="A8" s="90">
        <v>44</v>
      </c>
      <c r="B8" s="72" t="s">
        <v>175</v>
      </c>
      <c r="C8" s="73" t="s">
        <v>176</v>
      </c>
      <c r="D8" s="59" t="s">
        <v>54</v>
      </c>
      <c r="E8" s="59" t="s">
        <v>177</v>
      </c>
      <c r="F8" s="3"/>
      <c r="G8" s="4"/>
      <c r="H8" s="3"/>
      <c r="I8" s="4"/>
      <c r="J8" s="3"/>
      <c r="K8" s="4"/>
      <c r="L8" s="3"/>
      <c r="M8" s="4"/>
      <c r="N8" s="3"/>
      <c r="O8" s="4"/>
      <c r="P8" s="3"/>
      <c r="Q8" s="4"/>
    </row>
    <row r="9" spans="1:17" x14ac:dyDescent="0.35">
      <c r="A9" s="90">
        <f t="shared" ref="A9:A73" si="0">A8+1</f>
        <v>45</v>
      </c>
      <c r="B9" s="72" t="s">
        <v>175</v>
      </c>
      <c r="C9" s="73" t="s">
        <v>178</v>
      </c>
      <c r="D9" s="59" t="s">
        <v>123</v>
      </c>
      <c r="E9" s="59" t="s">
        <v>177</v>
      </c>
      <c r="F9" s="3"/>
      <c r="G9" s="4"/>
      <c r="H9" s="3"/>
      <c r="I9" s="4"/>
      <c r="J9" s="3"/>
      <c r="K9" s="4"/>
      <c r="L9" s="3"/>
      <c r="M9" s="4"/>
      <c r="N9" s="3"/>
      <c r="O9" s="4"/>
      <c r="P9" s="3"/>
      <c r="Q9" s="4"/>
    </row>
    <row r="10" spans="1:17" x14ac:dyDescent="0.35">
      <c r="A10" s="90">
        <f t="shared" si="0"/>
        <v>46</v>
      </c>
      <c r="B10" s="72" t="s">
        <v>175</v>
      </c>
      <c r="C10" s="73" t="s">
        <v>179</v>
      </c>
      <c r="D10" s="59" t="s">
        <v>123</v>
      </c>
      <c r="E10" s="59" t="s">
        <v>177</v>
      </c>
      <c r="F10" s="3"/>
      <c r="G10" s="4"/>
      <c r="H10" s="3"/>
      <c r="I10" s="4"/>
      <c r="J10" s="3"/>
      <c r="K10" s="4"/>
      <c r="L10" s="3"/>
      <c r="M10" s="4"/>
      <c r="N10" s="3"/>
      <c r="O10" s="4"/>
      <c r="P10" s="3"/>
      <c r="Q10" s="4"/>
    </row>
    <row r="11" spans="1:17" x14ac:dyDescent="0.35">
      <c r="A11" s="90">
        <f t="shared" si="0"/>
        <v>47</v>
      </c>
      <c r="B11" s="72" t="s">
        <v>175</v>
      </c>
      <c r="C11" s="73" t="s">
        <v>180</v>
      </c>
      <c r="D11" s="59" t="s">
        <v>123</v>
      </c>
      <c r="E11" s="59" t="s">
        <v>181</v>
      </c>
      <c r="F11" s="3"/>
      <c r="G11" s="4"/>
      <c r="H11" s="3"/>
      <c r="I11" s="4"/>
      <c r="J11" s="3"/>
      <c r="K11" s="4"/>
      <c r="L11" s="3"/>
      <c r="M11" s="4"/>
      <c r="N11" s="3"/>
      <c r="O11" s="4"/>
      <c r="P11" s="3"/>
      <c r="Q11" s="4"/>
    </row>
    <row r="12" spans="1:17" x14ac:dyDescent="0.35">
      <c r="A12" s="90">
        <f t="shared" si="0"/>
        <v>48</v>
      </c>
      <c r="B12" s="72" t="s">
        <v>175</v>
      </c>
      <c r="C12" s="73" t="s">
        <v>182</v>
      </c>
      <c r="D12" s="59" t="s">
        <v>123</v>
      </c>
      <c r="E12" s="59" t="s">
        <v>177</v>
      </c>
      <c r="F12" s="3"/>
      <c r="G12" s="4"/>
      <c r="H12" s="3"/>
      <c r="I12" s="4"/>
      <c r="J12" s="3"/>
      <c r="K12" s="4"/>
      <c r="L12" s="3"/>
      <c r="M12" s="4"/>
      <c r="N12" s="3"/>
      <c r="O12" s="4"/>
      <c r="P12" s="3"/>
      <c r="Q12" s="4"/>
    </row>
    <row r="13" spans="1:17" x14ac:dyDescent="0.35">
      <c r="A13" s="90">
        <f t="shared" si="0"/>
        <v>49</v>
      </c>
      <c r="B13" s="72" t="s">
        <v>175</v>
      </c>
      <c r="C13" s="73" t="s">
        <v>183</v>
      </c>
      <c r="D13" s="59" t="s">
        <v>123</v>
      </c>
      <c r="E13" s="59" t="s">
        <v>177</v>
      </c>
      <c r="F13" s="3"/>
      <c r="G13" s="4"/>
      <c r="H13" s="3"/>
      <c r="I13" s="4"/>
      <c r="J13" s="3"/>
      <c r="K13" s="4"/>
      <c r="L13" s="3"/>
      <c r="M13" s="4"/>
      <c r="N13" s="3"/>
      <c r="O13" s="4"/>
      <c r="P13" s="3"/>
      <c r="Q13" s="4"/>
    </row>
    <row r="14" spans="1:17" x14ac:dyDescent="0.35">
      <c r="A14" s="90">
        <f t="shared" si="0"/>
        <v>50</v>
      </c>
      <c r="B14" s="72" t="s">
        <v>175</v>
      </c>
      <c r="C14" s="73" t="s">
        <v>184</v>
      </c>
      <c r="D14" s="59" t="s">
        <v>123</v>
      </c>
      <c r="E14" s="59" t="s">
        <v>177</v>
      </c>
      <c r="F14" s="3"/>
      <c r="G14" s="4"/>
      <c r="H14" s="3"/>
      <c r="I14" s="4"/>
      <c r="J14" s="3"/>
      <c r="K14" s="4"/>
      <c r="L14" s="3"/>
      <c r="M14" s="4"/>
      <c r="N14" s="3"/>
      <c r="O14" s="4"/>
      <c r="P14" s="3"/>
      <c r="Q14" s="4"/>
    </row>
    <row r="15" spans="1:17" x14ac:dyDescent="0.35">
      <c r="A15" s="90">
        <f t="shared" si="0"/>
        <v>51</v>
      </c>
      <c r="B15" s="72" t="s">
        <v>175</v>
      </c>
      <c r="C15" s="73" t="s">
        <v>185</v>
      </c>
      <c r="D15" s="59" t="s">
        <v>123</v>
      </c>
      <c r="E15" s="59" t="s">
        <v>177</v>
      </c>
      <c r="F15" s="3"/>
      <c r="G15" s="4"/>
      <c r="H15" s="3"/>
      <c r="I15" s="4"/>
      <c r="J15" s="3"/>
      <c r="K15" s="4"/>
      <c r="L15" s="3"/>
      <c r="M15" s="4"/>
      <c r="N15" s="3"/>
      <c r="O15" s="4"/>
      <c r="P15" s="3"/>
      <c r="Q15" s="4"/>
    </row>
    <row r="16" spans="1:17" x14ac:dyDescent="0.35">
      <c r="A16" s="90">
        <f t="shared" si="0"/>
        <v>52</v>
      </c>
      <c r="B16" s="72" t="s">
        <v>175</v>
      </c>
      <c r="C16" s="73" t="s">
        <v>186</v>
      </c>
      <c r="D16" s="59" t="s">
        <v>123</v>
      </c>
      <c r="E16" s="59" t="s">
        <v>177</v>
      </c>
      <c r="F16" s="3"/>
      <c r="G16" s="4"/>
      <c r="H16" s="3"/>
      <c r="I16" s="4"/>
      <c r="J16" s="3"/>
      <c r="K16" s="4"/>
      <c r="L16" s="3"/>
      <c r="M16" s="4"/>
      <c r="N16" s="3"/>
      <c r="O16" s="4"/>
      <c r="P16" s="3"/>
      <c r="Q16" s="4"/>
    </row>
    <row r="17" spans="1:17" x14ac:dyDescent="0.35">
      <c r="A17" s="90">
        <f t="shared" si="0"/>
        <v>53</v>
      </c>
      <c r="B17" s="72" t="s">
        <v>175</v>
      </c>
      <c r="C17" s="73" t="s">
        <v>187</v>
      </c>
      <c r="D17" s="59" t="s">
        <v>123</v>
      </c>
      <c r="E17" s="59" t="s">
        <v>177</v>
      </c>
      <c r="F17" s="3"/>
      <c r="G17" s="4"/>
      <c r="H17" s="3"/>
      <c r="I17" s="4"/>
      <c r="J17" s="3"/>
      <c r="K17" s="4"/>
      <c r="L17" s="3"/>
      <c r="M17" s="4"/>
      <c r="N17" s="3"/>
      <c r="O17" s="4"/>
      <c r="P17" s="3"/>
      <c r="Q17" s="4"/>
    </row>
    <row r="18" spans="1:17" x14ac:dyDescent="0.35">
      <c r="A18" s="90">
        <f t="shared" si="0"/>
        <v>54</v>
      </c>
      <c r="B18" s="72" t="s">
        <v>175</v>
      </c>
      <c r="C18" s="73" t="s">
        <v>188</v>
      </c>
      <c r="D18" s="59" t="s">
        <v>123</v>
      </c>
      <c r="E18" s="59" t="s">
        <v>177</v>
      </c>
      <c r="F18" s="3"/>
      <c r="G18" s="4"/>
      <c r="H18" s="3"/>
      <c r="I18" s="4"/>
      <c r="J18" s="3"/>
      <c r="K18" s="4"/>
      <c r="L18" s="3"/>
      <c r="M18" s="4"/>
      <c r="N18" s="3"/>
      <c r="O18" s="4"/>
      <c r="P18" s="3"/>
      <c r="Q18" s="4"/>
    </row>
    <row r="19" spans="1:17" x14ac:dyDescent="0.35">
      <c r="A19" s="90">
        <f t="shared" si="0"/>
        <v>55</v>
      </c>
      <c r="B19" s="72" t="s">
        <v>175</v>
      </c>
      <c r="C19" s="73" t="s">
        <v>189</v>
      </c>
      <c r="D19" s="59" t="s">
        <v>54</v>
      </c>
      <c r="E19" s="59" t="s">
        <v>177</v>
      </c>
      <c r="F19" s="3"/>
      <c r="G19" s="4"/>
      <c r="H19" s="3"/>
      <c r="I19" s="4"/>
      <c r="J19" s="3"/>
      <c r="K19" s="4"/>
      <c r="L19" s="3"/>
      <c r="M19" s="4"/>
      <c r="N19" s="3"/>
      <c r="O19" s="4"/>
      <c r="P19" s="3"/>
      <c r="Q19" s="4"/>
    </row>
    <row r="20" spans="1:17" x14ac:dyDescent="0.35">
      <c r="A20" s="90">
        <f t="shared" si="0"/>
        <v>56</v>
      </c>
      <c r="B20" s="72" t="s">
        <v>175</v>
      </c>
      <c r="C20" s="73" t="s">
        <v>190</v>
      </c>
      <c r="D20" s="59" t="s">
        <v>123</v>
      </c>
      <c r="E20" s="59" t="s">
        <v>177</v>
      </c>
      <c r="F20" s="3"/>
      <c r="G20" s="4"/>
      <c r="H20" s="3"/>
      <c r="I20" s="4"/>
      <c r="J20" s="3"/>
      <c r="K20" s="4"/>
      <c r="L20" s="3"/>
      <c r="M20" s="4"/>
      <c r="N20" s="3"/>
      <c r="O20" s="4"/>
      <c r="P20" s="3"/>
      <c r="Q20" s="4"/>
    </row>
    <row r="21" spans="1:17" ht="29" x14ac:dyDescent="0.35">
      <c r="A21" s="90">
        <f t="shared" si="0"/>
        <v>57</v>
      </c>
      <c r="B21" s="74" t="s">
        <v>175</v>
      </c>
      <c r="C21" s="75" t="s">
        <v>191</v>
      </c>
      <c r="D21" s="76" t="s">
        <v>123</v>
      </c>
      <c r="E21" s="76" t="s">
        <v>177</v>
      </c>
      <c r="F21" s="3"/>
      <c r="G21" s="4"/>
      <c r="H21" s="3"/>
      <c r="I21" s="4"/>
      <c r="J21" s="3"/>
      <c r="K21" s="4"/>
      <c r="L21" s="3"/>
      <c r="M21" s="4"/>
      <c r="N21" s="3"/>
      <c r="O21" s="4"/>
      <c r="P21" s="3"/>
      <c r="Q21" s="4"/>
    </row>
    <row r="22" spans="1:17" x14ac:dyDescent="0.35">
      <c r="A22" s="90">
        <f t="shared" si="0"/>
        <v>58</v>
      </c>
      <c r="B22" s="72" t="s">
        <v>175</v>
      </c>
      <c r="C22" s="73" t="s">
        <v>192</v>
      </c>
      <c r="D22" s="59" t="s">
        <v>123</v>
      </c>
      <c r="E22" s="59" t="s">
        <v>177</v>
      </c>
      <c r="F22" s="3"/>
      <c r="G22" s="4"/>
      <c r="H22" s="3"/>
      <c r="I22" s="4"/>
      <c r="J22" s="3"/>
      <c r="K22" s="4"/>
      <c r="L22" s="3"/>
      <c r="M22" s="4"/>
      <c r="N22" s="3"/>
      <c r="O22" s="4"/>
      <c r="P22" s="3"/>
      <c r="Q22" s="4"/>
    </row>
    <row r="23" spans="1:17" x14ac:dyDescent="0.35">
      <c r="A23" s="90">
        <f t="shared" si="0"/>
        <v>59</v>
      </c>
      <c r="B23" s="72" t="s">
        <v>175</v>
      </c>
      <c r="C23" s="73" t="s">
        <v>193</v>
      </c>
      <c r="D23" s="59" t="s">
        <v>123</v>
      </c>
      <c r="E23" s="59" t="s">
        <v>177</v>
      </c>
      <c r="F23" s="3"/>
      <c r="G23" s="4"/>
      <c r="H23" s="3"/>
      <c r="I23" s="4"/>
      <c r="J23" s="3"/>
      <c r="K23" s="4"/>
      <c r="L23" s="3"/>
      <c r="M23" s="4"/>
      <c r="N23" s="3"/>
      <c r="O23" s="4"/>
      <c r="P23" s="3"/>
      <c r="Q23" s="4"/>
    </row>
    <row r="24" spans="1:17" x14ac:dyDescent="0.35">
      <c r="A24" s="90">
        <f t="shared" si="0"/>
        <v>60</v>
      </c>
      <c r="B24" s="72" t="s">
        <v>175</v>
      </c>
      <c r="C24" s="73" t="s">
        <v>194</v>
      </c>
      <c r="D24" s="59" t="s">
        <v>86</v>
      </c>
      <c r="E24" s="59" t="s">
        <v>195</v>
      </c>
      <c r="F24" s="3"/>
      <c r="G24" s="4"/>
      <c r="H24" s="3"/>
      <c r="I24" s="4"/>
      <c r="J24" s="3"/>
      <c r="K24" s="4"/>
      <c r="L24" s="3"/>
      <c r="M24" s="4"/>
      <c r="N24" s="3"/>
      <c r="O24" s="4"/>
      <c r="P24" s="3"/>
      <c r="Q24" s="4"/>
    </row>
    <row r="25" spans="1:17" x14ac:dyDescent="0.35">
      <c r="A25" s="90">
        <f t="shared" si="0"/>
        <v>61</v>
      </c>
      <c r="B25" s="72" t="s">
        <v>175</v>
      </c>
      <c r="C25" s="73" t="s">
        <v>196</v>
      </c>
      <c r="D25" s="59" t="s">
        <v>86</v>
      </c>
      <c r="E25" s="59" t="s">
        <v>195</v>
      </c>
      <c r="F25" s="3"/>
      <c r="G25" s="4"/>
      <c r="H25" s="3"/>
      <c r="I25" s="4"/>
      <c r="J25" s="3"/>
      <c r="K25" s="4"/>
      <c r="L25" s="3"/>
      <c r="M25" s="4"/>
      <c r="N25" s="3"/>
      <c r="O25" s="4"/>
      <c r="P25" s="3"/>
      <c r="Q25" s="4"/>
    </row>
    <row r="26" spans="1:17" x14ac:dyDescent="0.35">
      <c r="A26" s="90">
        <f t="shared" si="0"/>
        <v>62</v>
      </c>
      <c r="B26" s="72" t="s">
        <v>175</v>
      </c>
      <c r="C26" s="114" t="s">
        <v>197</v>
      </c>
      <c r="D26" s="59" t="s">
        <v>86</v>
      </c>
      <c r="E26" s="59" t="s">
        <v>195</v>
      </c>
      <c r="F26" s="3"/>
      <c r="G26" s="4"/>
      <c r="H26" s="3"/>
      <c r="I26" s="4"/>
      <c r="J26" s="3"/>
      <c r="K26" s="4"/>
      <c r="L26" s="3"/>
      <c r="M26" s="4"/>
      <c r="N26" s="3"/>
      <c r="O26" s="4"/>
      <c r="P26" s="3"/>
      <c r="Q26" s="4"/>
    </row>
    <row r="27" spans="1:17" x14ac:dyDescent="0.35">
      <c r="A27" s="90">
        <f t="shared" si="0"/>
        <v>63</v>
      </c>
      <c r="B27" s="72" t="s">
        <v>198</v>
      </c>
      <c r="C27" s="73" t="s">
        <v>199</v>
      </c>
      <c r="D27" s="59" t="s">
        <v>123</v>
      </c>
      <c r="E27" s="59" t="s">
        <v>177</v>
      </c>
      <c r="F27" s="3"/>
      <c r="G27" s="4"/>
      <c r="H27" s="3"/>
      <c r="I27" s="4"/>
      <c r="J27" s="3"/>
      <c r="K27" s="4"/>
      <c r="L27" s="3"/>
      <c r="M27" s="4"/>
      <c r="N27" s="3"/>
      <c r="O27" s="4"/>
      <c r="P27" s="3"/>
      <c r="Q27" s="4"/>
    </row>
    <row r="28" spans="1:17" ht="29" x14ac:dyDescent="0.35">
      <c r="A28" s="90">
        <f t="shared" si="0"/>
        <v>64</v>
      </c>
      <c r="B28" s="72" t="s">
        <v>198</v>
      </c>
      <c r="C28" s="73" t="s">
        <v>200</v>
      </c>
      <c r="D28" s="59" t="s">
        <v>201</v>
      </c>
      <c r="E28" s="59" t="s">
        <v>202</v>
      </c>
      <c r="F28" s="3"/>
      <c r="G28" s="4"/>
      <c r="H28" s="3"/>
      <c r="I28" s="4"/>
      <c r="J28" s="3"/>
      <c r="K28" s="4"/>
      <c r="L28" s="3"/>
      <c r="M28" s="4"/>
      <c r="N28" s="3"/>
      <c r="O28" s="4"/>
      <c r="P28" s="3"/>
      <c r="Q28" s="4"/>
    </row>
    <row r="29" spans="1:17" x14ac:dyDescent="0.35">
      <c r="A29" s="90">
        <f t="shared" si="0"/>
        <v>65</v>
      </c>
      <c r="B29" s="72" t="s">
        <v>198</v>
      </c>
      <c r="C29" s="73" t="s">
        <v>203</v>
      </c>
      <c r="D29" s="59" t="s">
        <v>123</v>
      </c>
      <c r="E29" s="59" t="s">
        <v>177</v>
      </c>
      <c r="F29" s="3"/>
      <c r="G29" s="4"/>
      <c r="H29" s="3"/>
      <c r="I29" s="4"/>
      <c r="J29" s="3"/>
      <c r="K29" s="4"/>
      <c r="L29" s="3"/>
      <c r="M29" s="4"/>
      <c r="N29" s="3"/>
      <c r="O29" s="4"/>
      <c r="P29" s="3"/>
      <c r="Q29" s="4"/>
    </row>
    <row r="30" spans="1:17" x14ac:dyDescent="0.35">
      <c r="A30" s="90">
        <f t="shared" si="0"/>
        <v>66</v>
      </c>
      <c r="B30" s="72" t="s">
        <v>198</v>
      </c>
      <c r="C30" s="73" t="s">
        <v>204</v>
      </c>
      <c r="D30" s="59" t="s">
        <v>123</v>
      </c>
      <c r="E30" s="59" t="s">
        <v>177</v>
      </c>
      <c r="F30" s="3"/>
      <c r="G30" s="4"/>
      <c r="H30" s="3"/>
      <c r="I30" s="4"/>
      <c r="J30" s="3"/>
      <c r="K30" s="4"/>
      <c r="L30" s="3"/>
      <c r="M30" s="4"/>
      <c r="N30" s="3"/>
      <c r="O30" s="4"/>
      <c r="P30" s="3"/>
      <c r="Q30" s="4"/>
    </row>
    <row r="31" spans="1:17" s="23" customFormat="1" x14ac:dyDescent="0.35">
      <c r="A31" s="90">
        <f t="shared" si="0"/>
        <v>67</v>
      </c>
      <c r="B31" s="77" t="s">
        <v>198</v>
      </c>
      <c r="C31" s="78" t="s">
        <v>205</v>
      </c>
      <c r="D31" s="59" t="s">
        <v>123</v>
      </c>
      <c r="E31" s="59" t="s">
        <v>177</v>
      </c>
      <c r="F31" s="21"/>
      <c r="G31" s="22"/>
      <c r="H31" s="21"/>
      <c r="I31" s="22"/>
      <c r="J31" s="21"/>
      <c r="K31" s="22"/>
      <c r="L31" s="21"/>
      <c r="M31" s="22"/>
      <c r="N31" s="21"/>
      <c r="O31" s="22"/>
      <c r="P31" s="21"/>
      <c r="Q31" s="22"/>
    </row>
    <row r="32" spans="1:17" s="23" customFormat="1" ht="47.25" customHeight="1" x14ac:dyDescent="0.35">
      <c r="A32" s="90">
        <f t="shared" si="0"/>
        <v>68</v>
      </c>
      <c r="B32" s="72" t="s">
        <v>198</v>
      </c>
      <c r="C32" s="55" t="s">
        <v>206</v>
      </c>
      <c r="D32" s="76" t="s">
        <v>207</v>
      </c>
      <c r="E32" s="59" t="s">
        <v>208</v>
      </c>
      <c r="F32" s="21"/>
      <c r="G32" s="22"/>
      <c r="H32" s="21"/>
      <c r="I32" s="22"/>
      <c r="J32" s="21"/>
      <c r="K32" s="22"/>
      <c r="L32" s="21"/>
      <c r="M32" s="22"/>
      <c r="N32" s="21"/>
      <c r="O32" s="22"/>
      <c r="P32" s="21"/>
      <c r="Q32" s="22"/>
    </row>
    <row r="33" spans="1:17" s="23" customFormat="1" ht="15" customHeight="1" x14ac:dyDescent="0.35">
      <c r="A33" s="90">
        <f t="shared" si="0"/>
        <v>69</v>
      </c>
      <c r="B33" s="77" t="s">
        <v>198</v>
      </c>
      <c r="C33" s="78" t="s">
        <v>209</v>
      </c>
      <c r="D33" s="59" t="s">
        <v>123</v>
      </c>
      <c r="E33" s="59" t="s">
        <v>177</v>
      </c>
      <c r="F33" s="21"/>
      <c r="G33" s="22"/>
      <c r="H33" s="21"/>
      <c r="I33" s="22"/>
      <c r="J33" s="21"/>
      <c r="K33" s="22"/>
      <c r="L33" s="21"/>
      <c r="M33" s="22"/>
      <c r="N33" s="21"/>
      <c r="O33" s="22"/>
      <c r="P33" s="21"/>
      <c r="Q33" s="22"/>
    </row>
    <row r="34" spans="1:17" s="23" customFormat="1" ht="15" customHeight="1" x14ac:dyDescent="0.35">
      <c r="A34" s="90">
        <f t="shared" si="0"/>
        <v>70</v>
      </c>
      <c r="B34" s="77" t="s">
        <v>198</v>
      </c>
      <c r="C34" s="78" t="s">
        <v>210</v>
      </c>
      <c r="D34" s="59" t="s">
        <v>123</v>
      </c>
      <c r="E34" s="59" t="s">
        <v>177</v>
      </c>
      <c r="F34" s="21"/>
      <c r="G34" s="22"/>
      <c r="H34" s="21"/>
      <c r="I34" s="22"/>
      <c r="J34" s="21"/>
      <c r="K34" s="22"/>
      <c r="L34" s="21"/>
      <c r="M34" s="22"/>
      <c r="N34" s="21"/>
      <c r="O34" s="22"/>
      <c r="P34" s="21"/>
      <c r="Q34" s="22"/>
    </row>
    <row r="35" spans="1:17" s="23" customFormat="1" ht="15" customHeight="1" x14ac:dyDescent="0.35">
      <c r="A35" s="90">
        <f t="shared" si="0"/>
        <v>71</v>
      </c>
      <c r="B35" s="77" t="s">
        <v>198</v>
      </c>
      <c r="C35" s="73" t="s">
        <v>211</v>
      </c>
      <c r="D35" s="59" t="s">
        <v>123</v>
      </c>
      <c r="E35" s="59" t="s">
        <v>212</v>
      </c>
      <c r="F35" s="21"/>
      <c r="G35" s="22"/>
      <c r="H35" s="21"/>
      <c r="I35" s="22"/>
      <c r="J35" s="21"/>
      <c r="K35" s="22"/>
      <c r="L35" s="21"/>
      <c r="M35" s="22"/>
      <c r="N35" s="21"/>
      <c r="O35" s="22"/>
      <c r="P35" s="21"/>
      <c r="Q35" s="22"/>
    </row>
    <row r="36" spans="1:17" s="23" customFormat="1" ht="15" customHeight="1" x14ac:dyDescent="0.35">
      <c r="A36" s="90">
        <f t="shared" si="0"/>
        <v>72</v>
      </c>
      <c r="B36" s="77" t="s">
        <v>198</v>
      </c>
      <c r="C36" s="78" t="s">
        <v>213</v>
      </c>
      <c r="D36" s="59" t="s">
        <v>214</v>
      </c>
      <c r="E36" s="59" t="s">
        <v>195</v>
      </c>
      <c r="F36" s="21"/>
      <c r="G36" s="22"/>
      <c r="H36" s="21"/>
      <c r="I36" s="22"/>
      <c r="J36" s="21"/>
      <c r="K36" s="22"/>
      <c r="L36" s="21"/>
      <c r="M36" s="22"/>
      <c r="N36" s="21"/>
      <c r="O36" s="22"/>
      <c r="P36" s="21"/>
      <c r="Q36" s="22"/>
    </row>
    <row r="37" spans="1:17" ht="15" customHeight="1" x14ac:dyDescent="0.35">
      <c r="A37" s="90">
        <f t="shared" si="0"/>
        <v>73</v>
      </c>
      <c r="B37" s="79" t="s">
        <v>198</v>
      </c>
      <c r="C37" s="79" t="s">
        <v>215</v>
      </c>
      <c r="D37" s="59" t="s">
        <v>214</v>
      </c>
      <c r="E37" s="59" t="s">
        <v>216</v>
      </c>
      <c r="F37" s="3"/>
      <c r="G37" s="4"/>
      <c r="H37" s="3"/>
      <c r="I37" s="4"/>
      <c r="J37" s="3"/>
      <c r="K37" s="4"/>
      <c r="L37" s="3"/>
      <c r="M37" s="4"/>
      <c r="N37" s="3"/>
      <c r="O37" s="4"/>
      <c r="P37" s="3"/>
      <c r="Q37" s="4"/>
    </row>
    <row r="38" spans="1:17" x14ac:dyDescent="0.35">
      <c r="A38" s="90">
        <f t="shared" si="0"/>
        <v>74</v>
      </c>
      <c r="B38" s="72" t="s">
        <v>198</v>
      </c>
      <c r="C38" s="73" t="s">
        <v>217</v>
      </c>
      <c r="D38" s="59" t="s">
        <v>123</v>
      </c>
      <c r="E38" s="59" t="s">
        <v>195</v>
      </c>
      <c r="F38" s="3"/>
      <c r="G38" s="4"/>
      <c r="H38" s="3"/>
      <c r="I38" s="4"/>
      <c r="J38" s="3"/>
      <c r="K38" s="4"/>
      <c r="L38" s="3"/>
      <c r="M38" s="4"/>
      <c r="N38" s="3"/>
      <c r="O38" s="4"/>
      <c r="P38" s="3"/>
      <c r="Q38" s="4"/>
    </row>
    <row r="39" spans="1:17" x14ac:dyDescent="0.35">
      <c r="A39" s="90">
        <f t="shared" si="0"/>
        <v>75</v>
      </c>
      <c r="B39" s="72" t="s">
        <v>198</v>
      </c>
      <c r="C39" s="73" t="s">
        <v>218</v>
      </c>
      <c r="D39" s="59" t="s">
        <v>123</v>
      </c>
      <c r="E39" s="59" t="s">
        <v>195</v>
      </c>
      <c r="F39" s="3"/>
      <c r="G39" s="4"/>
      <c r="H39" s="3"/>
      <c r="I39" s="4"/>
      <c r="J39" s="3"/>
      <c r="K39" s="4"/>
      <c r="L39" s="3"/>
      <c r="M39" s="4"/>
      <c r="N39" s="3"/>
      <c r="O39" s="4"/>
      <c r="P39" s="3"/>
      <c r="Q39" s="4"/>
    </row>
    <row r="40" spans="1:17" x14ac:dyDescent="0.35">
      <c r="A40" s="90">
        <f t="shared" si="0"/>
        <v>76</v>
      </c>
      <c r="B40" s="72" t="s">
        <v>198</v>
      </c>
      <c r="C40" s="73" t="s">
        <v>209</v>
      </c>
      <c r="D40" s="59" t="s">
        <v>123</v>
      </c>
      <c r="E40" s="59" t="s">
        <v>195</v>
      </c>
      <c r="F40" s="3"/>
      <c r="G40" s="4"/>
      <c r="H40" s="3"/>
      <c r="I40" s="4"/>
      <c r="J40" s="3"/>
      <c r="K40" s="4"/>
      <c r="L40" s="3"/>
      <c r="M40" s="4"/>
      <c r="N40" s="3"/>
      <c r="O40" s="4"/>
      <c r="P40" s="3"/>
      <c r="Q40" s="4"/>
    </row>
    <row r="41" spans="1:17" x14ac:dyDescent="0.35">
      <c r="A41" s="90">
        <f t="shared" si="0"/>
        <v>77</v>
      </c>
      <c r="B41" s="72" t="s">
        <v>198</v>
      </c>
      <c r="C41" s="73" t="s">
        <v>210</v>
      </c>
      <c r="D41" s="59" t="s">
        <v>123</v>
      </c>
      <c r="E41" s="59" t="s">
        <v>195</v>
      </c>
      <c r="F41" s="3"/>
      <c r="G41" s="4"/>
      <c r="H41" s="3"/>
      <c r="I41" s="4"/>
      <c r="J41" s="3"/>
      <c r="K41" s="4"/>
      <c r="L41" s="3"/>
      <c r="M41" s="4"/>
      <c r="N41" s="3"/>
      <c r="O41" s="4"/>
      <c r="P41" s="3"/>
      <c r="Q41" s="4"/>
    </row>
    <row r="42" spans="1:17" ht="47.25" customHeight="1" x14ac:dyDescent="0.35">
      <c r="A42" s="90">
        <f t="shared" si="0"/>
        <v>78</v>
      </c>
      <c r="B42" s="72" t="s">
        <v>198</v>
      </c>
      <c r="C42" s="55" t="s">
        <v>219</v>
      </c>
      <c r="D42" s="76" t="s">
        <v>207</v>
      </c>
      <c r="E42" s="59" t="s">
        <v>208</v>
      </c>
      <c r="F42" s="3"/>
      <c r="G42" s="4"/>
      <c r="H42" s="3"/>
      <c r="I42" s="4"/>
      <c r="J42" s="3"/>
      <c r="K42" s="4"/>
      <c r="L42" s="3"/>
      <c r="M42" s="4"/>
      <c r="N42" s="3"/>
      <c r="O42" s="4"/>
      <c r="P42" s="3"/>
      <c r="Q42" s="4"/>
    </row>
    <row r="43" spans="1:17" x14ac:dyDescent="0.35">
      <c r="A43" s="90">
        <f t="shared" si="0"/>
        <v>79</v>
      </c>
      <c r="B43" s="72" t="s">
        <v>198</v>
      </c>
      <c r="C43" s="73" t="s">
        <v>220</v>
      </c>
      <c r="D43" s="59" t="s">
        <v>123</v>
      </c>
      <c r="E43" s="59" t="s">
        <v>195</v>
      </c>
      <c r="F43" s="3"/>
      <c r="G43" s="4"/>
      <c r="H43" s="3"/>
      <c r="I43" s="4"/>
      <c r="J43" s="3"/>
      <c r="K43" s="4"/>
      <c r="L43" s="3"/>
      <c r="M43" s="4"/>
      <c r="N43" s="3"/>
      <c r="O43" s="4"/>
      <c r="P43" s="3"/>
      <c r="Q43" s="4"/>
    </row>
    <row r="44" spans="1:17" x14ac:dyDescent="0.35">
      <c r="A44" s="90">
        <f t="shared" si="0"/>
        <v>80</v>
      </c>
      <c r="B44" s="79" t="s">
        <v>198</v>
      </c>
      <c r="C44" s="79" t="s">
        <v>221</v>
      </c>
      <c r="D44" s="59" t="s">
        <v>214</v>
      </c>
      <c r="E44" s="59" t="s">
        <v>216</v>
      </c>
      <c r="F44" s="19"/>
      <c r="G44" s="4"/>
      <c r="H44" s="3"/>
      <c r="I44" s="4"/>
      <c r="J44" s="3"/>
      <c r="K44" s="4"/>
      <c r="L44" s="3"/>
      <c r="M44" s="4"/>
      <c r="N44" s="3"/>
      <c r="O44" s="4"/>
      <c r="P44" s="3"/>
      <c r="Q44" s="4"/>
    </row>
    <row r="45" spans="1:17" x14ac:dyDescent="0.35">
      <c r="A45" s="90">
        <f t="shared" si="0"/>
        <v>81</v>
      </c>
      <c r="B45" s="72" t="s">
        <v>198</v>
      </c>
      <c r="C45" s="73" t="s">
        <v>222</v>
      </c>
      <c r="D45" s="59" t="s">
        <v>123</v>
      </c>
      <c r="E45" s="59" t="s">
        <v>195</v>
      </c>
      <c r="F45" s="19"/>
      <c r="G45" s="4"/>
      <c r="H45" s="3"/>
      <c r="I45" s="4"/>
      <c r="J45" s="3"/>
      <c r="K45" s="4"/>
      <c r="L45" s="3"/>
      <c r="M45" s="4"/>
      <c r="N45" s="3"/>
      <c r="O45" s="4"/>
      <c r="P45" s="3"/>
      <c r="Q45" s="4"/>
    </row>
    <row r="46" spans="1:17" x14ac:dyDescent="0.35">
      <c r="A46" s="90">
        <f t="shared" si="0"/>
        <v>82</v>
      </c>
      <c r="B46" s="72" t="s">
        <v>198</v>
      </c>
      <c r="C46" s="73" t="s">
        <v>223</v>
      </c>
      <c r="D46" s="59" t="s">
        <v>123</v>
      </c>
      <c r="E46" s="59" t="s">
        <v>195</v>
      </c>
      <c r="F46" s="19"/>
      <c r="G46" s="4"/>
      <c r="H46" s="3"/>
      <c r="I46" s="4"/>
      <c r="J46" s="3"/>
      <c r="K46" s="4"/>
      <c r="L46" s="3"/>
      <c r="M46" s="4"/>
      <c r="N46" s="3"/>
      <c r="O46" s="4"/>
      <c r="P46" s="3"/>
      <c r="Q46" s="4"/>
    </row>
    <row r="47" spans="1:17" x14ac:dyDescent="0.35">
      <c r="A47" s="90">
        <f t="shared" si="0"/>
        <v>83</v>
      </c>
      <c r="B47" s="72" t="s">
        <v>198</v>
      </c>
      <c r="C47" s="73" t="s">
        <v>209</v>
      </c>
      <c r="D47" s="59" t="s">
        <v>123</v>
      </c>
      <c r="E47" s="59" t="s">
        <v>195</v>
      </c>
      <c r="F47" s="19"/>
      <c r="G47" s="4"/>
      <c r="H47" s="3"/>
      <c r="I47" s="4"/>
      <c r="J47" s="3"/>
      <c r="K47" s="4"/>
      <c r="L47" s="3"/>
      <c r="M47" s="4"/>
      <c r="N47" s="3"/>
      <c r="O47" s="4"/>
      <c r="P47" s="3"/>
      <c r="Q47" s="4"/>
    </row>
    <row r="48" spans="1:17" x14ac:dyDescent="0.35">
      <c r="A48" s="90">
        <f t="shared" si="0"/>
        <v>84</v>
      </c>
      <c r="B48" s="72" t="s">
        <v>198</v>
      </c>
      <c r="C48" s="73" t="s">
        <v>210</v>
      </c>
      <c r="D48" s="59" t="s">
        <v>123</v>
      </c>
      <c r="E48" s="59" t="s">
        <v>195</v>
      </c>
      <c r="F48" s="19"/>
      <c r="G48" s="4"/>
      <c r="H48" s="3"/>
      <c r="I48" s="4"/>
      <c r="J48" s="3"/>
      <c r="K48" s="4"/>
      <c r="L48" s="3"/>
      <c r="M48" s="4"/>
      <c r="N48" s="3"/>
      <c r="O48" s="4"/>
      <c r="P48" s="3"/>
      <c r="Q48" s="4"/>
    </row>
    <row r="49" spans="1:17" ht="43.5" x14ac:dyDescent="0.35">
      <c r="A49" s="90">
        <f t="shared" si="0"/>
        <v>85</v>
      </c>
      <c r="B49" s="72" t="s">
        <v>198</v>
      </c>
      <c r="C49" s="73" t="s">
        <v>224</v>
      </c>
      <c r="D49" s="76" t="s">
        <v>207</v>
      </c>
      <c r="E49" s="59" t="s">
        <v>208</v>
      </c>
      <c r="F49" s="19"/>
      <c r="G49" s="5"/>
      <c r="H49" s="3"/>
      <c r="I49" s="5"/>
      <c r="J49" s="3"/>
      <c r="K49" s="5"/>
      <c r="L49" s="3"/>
      <c r="M49" s="5"/>
      <c r="N49" s="3"/>
      <c r="O49" s="5"/>
      <c r="P49" s="3"/>
      <c r="Q49" s="5"/>
    </row>
    <row r="50" spans="1:17" x14ac:dyDescent="0.35">
      <c r="A50" s="90">
        <f t="shared" si="0"/>
        <v>86</v>
      </c>
      <c r="B50" s="72" t="s">
        <v>198</v>
      </c>
      <c r="C50" s="73" t="s">
        <v>225</v>
      </c>
      <c r="D50" s="59" t="s">
        <v>123</v>
      </c>
      <c r="E50" s="59" t="s">
        <v>195</v>
      </c>
      <c r="F50" s="19"/>
      <c r="G50" s="5"/>
      <c r="H50" s="3"/>
      <c r="I50" s="5"/>
      <c r="J50" s="3"/>
      <c r="K50" s="5"/>
      <c r="L50" s="3"/>
      <c r="M50" s="5"/>
      <c r="N50" s="3"/>
      <c r="O50" s="5"/>
      <c r="P50" s="3"/>
      <c r="Q50" s="5"/>
    </row>
    <row r="51" spans="1:17" x14ac:dyDescent="0.35">
      <c r="A51" s="90">
        <f t="shared" si="0"/>
        <v>87</v>
      </c>
      <c r="B51" s="79" t="s">
        <v>198</v>
      </c>
      <c r="C51" s="79" t="s">
        <v>226</v>
      </c>
      <c r="D51" s="59" t="s">
        <v>214</v>
      </c>
      <c r="E51" s="59" t="s">
        <v>216</v>
      </c>
      <c r="F51" s="19"/>
      <c r="G51" s="5"/>
      <c r="H51" s="3"/>
      <c r="I51" s="5"/>
      <c r="J51" s="3"/>
      <c r="K51" s="5"/>
      <c r="L51" s="3"/>
      <c r="M51" s="5"/>
      <c r="N51" s="3"/>
      <c r="O51" s="5"/>
      <c r="P51" s="3"/>
      <c r="Q51" s="5"/>
    </row>
    <row r="52" spans="1:17" x14ac:dyDescent="0.35">
      <c r="A52" s="90">
        <f t="shared" si="0"/>
        <v>88</v>
      </c>
      <c r="B52" s="72" t="s">
        <v>198</v>
      </c>
      <c r="C52" s="73" t="s">
        <v>227</v>
      </c>
      <c r="D52" s="59" t="s">
        <v>123</v>
      </c>
      <c r="E52" s="59" t="s">
        <v>195</v>
      </c>
      <c r="F52" s="19"/>
      <c r="G52" s="5"/>
      <c r="H52" s="3"/>
      <c r="I52" s="5"/>
      <c r="J52" s="3"/>
      <c r="K52" s="5"/>
      <c r="L52" s="3"/>
      <c r="M52" s="5"/>
      <c r="N52" s="3"/>
      <c r="O52" s="5"/>
      <c r="P52" s="3"/>
      <c r="Q52" s="5"/>
    </row>
    <row r="53" spans="1:17" x14ac:dyDescent="0.35">
      <c r="A53" s="90">
        <f t="shared" si="0"/>
        <v>89</v>
      </c>
      <c r="B53" s="72" t="s">
        <v>198</v>
      </c>
      <c r="C53" s="73" t="s">
        <v>228</v>
      </c>
      <c r="D53" s="59" t="s">
        <v>123</v>
      </c>
      <c r="E53" s="59" t="s">
        <v>195</v>
      </c>
      <c r="F53" s="19"/>
      <c r="G53" s="5"/>
      <c r="H53" s="3"/>
      <c r="I53" s="5"/>
      <c r="J53" s="3"/>
      <c r="K53" s="5"/>
      <c r="L53" s="3"/>
      <c r="M53" s="5"/>
      <c r="N53" s="3"/>
      <c r="O53" s="5"/>
      <c r="P53" s="3"/>
      <c r="Q53" s="5"/>
    </row>
    <row r="54" spans="1:17" x14ac:dyDescent="0.35">
      <c r="A54" s="90">
        <f t="shared" si="0"/>
        <v>90</v>
      </c>
      <c r="B54" s="72" t="s">
        <v>198</v>
      </c>
      <c r="C54" s="73" t="s">
        <v>209</v>
      </c>
      <c r="D54" s="59" t="s">
        <v>123</v>
      </c>
      <c r="E54" s="59" t="s">
        <v>195</v>
      </c>
      <c r="F54" s="19"/>
      <c r="G54" s="5"/>
      <c r="H54" s="3"/>
      <c r="I54" s="5"/>
      <c r="J54" s="3"/>
      <c r="K54" s="5"/>
      <c r="L54" s="3"/>
      <c r="M54" s="5"/>
      <c r="N54" s="3"/>
      <c r="O54" s="5"/>
      <c r="P54" s="3"/>
      <c r="Q54" s="5"/>
    </row>
    <row r="55" spans="1:17" x14ac:dyDescent="0.35">
      <c r="A55" s="90">
        <f t="shared" si="0"/>
        <v>91</v>
      </c>
      <c r="B55" s="72" t="s">
        <v>198</v>
      </c>
      <c r="C55" s="73" t="s">
        <v>210</v>
      </c>
      <c r="D55" s="59" t="s">
        <v>123</v>
      </c>
      <c r="E55" s="59" t="s">
        <v>195</v>
      </c>
      <c r="F55" s="19"/>
      <c r="G55" s="5"/>
      <c r="H55" s="3"/>
      <c r="I55" s="5"/>
      <c r="J55" s="3"/>
      <c r="K55" s="5"/>
      <c r="L55" s="3"/>
      <c r="M55" s="5"/>
      <c r="N55" s="3"/>
      <c r="O55" s="5"/>
      <c r="P55" s="3"/>
      <c r="Q55" s="5"/>
    </row>
    <row r="56" spans="1:17" ht="43.5" x14ac:dyDescent="0.35">
      <c r="A56" s="90">
        <f t="shared" si="0"/>
        <v>92</v>
      </c>
      <c r="B56" s="72" t="s">
        <v>198</v>
      </c>
      <c r="C56" s="73" t="s">
        <v>229</v>
      </c>
      <c r="D56" s="76" t="s">
        <v>207</v>
      </c>
      <c r="E56" s="59" t="s">
        <v>208</v>
      </c>
      <c r="F56" s="19"/>
      <c r="G56" s="5"/>
      <c r="H56" s="3"/>
      <c r="I56" s="5"/>
      <c r="J56" s="3"/>
      <c r="K56" s="5"/>
      <c r="L56" s="3"/>
      <c r="M56" s="5"/>
      <c r="N56" s="3"/>
      <c r="O56" s="5"/>
      <c r="P56" s="3"/>
      <c r="Q56" s="5"/>
    </row>
    <row r="57" spans="1:17" x14ac:dyDescent="0.35">
      <c r="A57" s="90">
        <f t="shared" si="0"/>
        <v>93</v>
      </c>
      <c r="B57" s="72" t="s">
        <v>198</v>
      </c>
      <c r="C57" s="73" t="s">
        <v>230</v>
      </c>
      <c r="D57" s="59" t="s">
        <v>123</v>
      </c>
      <c r="E57" s="59" t="s">
        <v>195</v>
      </c>
      <c r="F57" s="19"/>
      <c r="G57" s="5"/>
      <c r="H57" s="3"/>
      <c r="I57" s="5"/>
      <c r="J57" s="3"/>
      <c r="K57" s="5"/>
      <c r="L57" s="3"/>
      <c r="M57" s="5"/>
      <c r="N57" s="3"/>
      <c r="O57" s="5"/>
      <c r="P57" s="3"/>
      <c r="Q57" s="5"/>
    </row>
    <row r="58" spans="1:17" x14ac:dyDescent="0.35">
      <c r="A58" s="90">
        <f t="shared" si="0"/>
        <v>94</v>
      </c>
      <c r="B58" s="79" t="s">
        <v>198</v>
      </c>
      <c r="C58" s="79" t="s">
        <v>231</v>
      </c>
      <c r="D58" s="59" t="s">
        <v>214</v>
      </c>
      <c r="E58" s="59" t="s">
        <v>216</v>
      </c>
      <c r="F58" s="3"/>
      <c r="G58" s="5"/>
      <c r="H58" s="3"/>
      <c r="I58" s="5"/>
      <c r="J58" s="3"/>
      <c r="K58" s="5"/>
      <c r="L58" s="3"/>
      <c r="M58" s="5"/>
      <c r="N58" s="3"/>
      <c r="O58" s="5"/>
      <c r="P58" s="3"/>
      <c r="Q58" s="5"/>
    </row>
    <row r="59" spans="1:17" x14ac:dyDescent="0.35">
      <c r="A59" s="90">
        <f t="shared" si="0"/>
        <v>95</v>
      </c>
      <c r="B59" s="72" t="s">
        <v>198</v>
      </c>
      <c r="C59" s="73" t="s">
        <v>232</v>
      </c>
      <c r="D59" s="59" t="s">
        <v>123</v>
      </c>
      <c r="E59" s="59" t="s">
        <v>195</v>
      </c>
      <c r="F59" s="3"/>
      <c r="G59" s="5"/>
      <c r="H59" s="3"/>
      <c r="I59" s="5"/>
      <c r="J59" s="3"/>
      <c r="K59" s="5"/>
      <c r="L59" s="3"/>
      <c r="M59" s="5"/>
      <c r="N59" s="3"/>
      <c r="O59" s="5"/>
      <c r="P59" s="3"/>
      <c r="Q59" s="5"/>
    </row>
    <row r="60" spans="1:17" x14ac:dyDescent="0.35">
      <c r="A60" s="90">
        <f t="shared" si="0"/>
        <v>96</v>
      </c>
      <c r="B60" s="72" t="s">
        <v>198</v>
      </c>
      <c r="C60" s="73" t="s">
        <v>233</v>
      </c>
      <c r="D60" s="59" t="s">
        <v>123</v>
      </c>
      <c r="E60" s="59" t="s">
        <v>195</v>
      </c>
      <c r="F60" s="3"/>
      <c r="G60" s="5"/>
      <c r="H60" s="3"/>
      <c r="I60" s="5"/>
      <c r="J60" s="3"/>
      <c r="K60" s="5"/>
      <c r="L60" s="3"/>
      <c r="M60" s="5"/>
      <c r="N60" s="3"/>
      <c r="O60" s="5"/>
      <c r="P60" s="3"/>
      <c r="Q60" s="5"/>
    </row>
    <row r="61" spans="1:17" x14ac:dyDescent="0.35">
      <c r="A61" s="90">
        <f t="shared" si="0"/>
        <v>97</v>
      </c>
      <c r="B61" s="72" t="s">
        <v>198</v>
      </c>
      <c r="C61" s="73" t="s">
        <v>209</v>
      </c>
      <c r="D61" s="59" t="s">
        <v>123</v>
      </c>
      <c r="E61" s="59" t="s">
        <v>195</v>
      </c>
      <c r="F61" s="3"/>
      <c r="G61" s="5"/>
      <c r="H61" s="3"/>
      <c r="I61" s="5"/>
      <c r="J61" s="3"/>
      <c r="K61" s="5"/>
      <c r="L61" s="3"/>
      <c r="M61" s="5"/>
      <c r="N61" s="3"/>
      <c r="O61" s="5"/>
      <c r="P61" s="3"/>
      <c r="Q61" s="5"/>
    </row>
    <row r="62" spans="1:17" x14ac:dyDescent="0.35">
      <c r="A62" s="90">
        <f t="shared" si="0"/>
        <v>98</v>
      </c>
      <c r="B62" s="72" t="s">
        <v>198</v>
      </c>
      <c r="C62" s="73" t="s">
        <v>210</v>
      </c>
      <c r="D62" s="59" t="s">
        <v>123</v>
      </c>
      <c r="E62" s="59" t="s">
        <v>195</v>
      </c>
      <c r="F62" s="3"/>
      <c r="G62" s="5"/>
      <c r="H62" s="3"/>
      <c r="I62" s="5"/>
      <c r="J62" s="3"/>
      <c r="K62" s="5"/>
      <c r="L62" s="3"/>
      <c r="M62" s="5"/>
      <c r="N62" s="3"/>
      <c r="O62" s="5"/>
      <c r="P62" s="3"/>
      <c r="Q62" s="5"/>
    </row>
    <row r="63" spans="1:17" ht="43.5" x14ac:dyDescent="0.35">
      <c r="A63" s="90">
        <f t="shared" si="0"/>
        <v>99</v>
      </c>
      <c r="B63" s="72" t="s">
        <v>198</v>
      </c>
      <c r="C63" s="73" t="s">
        <v>234</v>
      </c>
      <c r="D63" s="76" t="s">
        <v>207</v>
      </c>
      <c r="E63" s="59" t="s">
        <v>208</v>
      </c>
      <c r="F63" s="3"/>
      <c r="G63" s="5"/>
      <c r="H63" s="3"/>
      <c r="I63" s="5"/>
      <c r="J63" s="3"/>
      <c r="K63" s="5"/>
      <c r="L63" s="3"/>
      <c r="M63" s="5"/>
      <c r="N63" s="3"/>
      <c r="O63" s="5"/>
      <c r="P63" s="3"/>
      <c r="Q63" s="5"/>
    </row>
    <row r="64" spans="1:17" x14ac:dyDescent="0.35">
      <c r="A64" s="90">
        <f t="shared" si="0"/>
        <v>100</v>
      </c>
      <c r="B64" s="72" t="s">
        <v>198</v>
      </c>
      <c r="C64" s="73" t="s">
        <v>235</v>
      </c>
      <c r="D64" s="59" t="s">
        <v>123</v>
      </c>
      <c r="E64" s="59" t="s">
        <v>195</v>
      </c>
      <c r="F64" s="3"/>
      <c r="G64" s="5"/>
      <c r="H64" s="3"/>
      <c r="I64" s="5"/>
      <c r="J64" s="3"/>
      <c r="K64" s="5"/>
      <c r="L64" s="3"/>
      <c r="M64" s="5"/>
      <c r="N64" s="3"/>
      <c r="O64" s="5"/>
      <c r="P64" s="3"/>
      <c r="Q64" s="5"/>
    </row>
    <row r="65" spans="1:17" x14ac:dyDescent="0.35">
      <c r="A65" s="90">
        <f t="shared" si="0"/>
        <v>101</v>
      </c>
      <c r="B65" s="79" t="s">
        <v>198</v>
      </c>
      <c r="C65" s="79" t="s">
        <v>236</v>
      </c>
      <c r="D65" s="59" t="s">
        <v>214</v>
      </c>
      <c r="E65" s="59" t="s">
        <v>216</v>
      </c>
      <c r="F65" s="3"/>
      <c r="G65" s="5"/>
      <c r="H65" s="3"/>
      <c r="I65" s="5"/>
      <c r="J65" s="3"/>
      <c r="K65" s="5"/>
      <c r="L65" s="3"/>
      <c r="M65" s="5"/>
      <c r="N65" s="3"/>
      <c r="O65" s="5"/>
      <c r="P65" s="3"/>
      <c r="Q65" s="5"/>
    </row>
    <row r="66" spans="1:17" x14ac:dyDescent="0.35">
      <c r="A66" s="90">
        <f t="shared" si="0"/>
        <v>102</v>
      </c>
      <c r="B66" s="72" t="s">
        <v>198</v>
      </c>
      <c r="C66" s="73" t="s">
        <v>237</v>
      </c>
      <c r="D66" s="59" t="s">
        <v>123</v>
      </c>
      <c r="E66" s="59" t="s">
        <v>195</v>
      </c>
      <c r="F66" s="3"/>
      <c r="G66" s="5"/>
      <c r="H66" s="3"/>
      <c r="I66" s="5"/>
      <c r="J66" s="3"/>
      <c r="K66" s="5"/>
      <c r="L66" s="3"/>
      <c r="M66" s="5"/>
      <c r="N66" s="3"/>
      <c r="O66" s="5"/>
      <c r="P66" s="3"/>
      <c r="Q66" s="5"/>
    </row>
    <row r="67" spans="1:17" x14ac:dyDescent="0.35">
      <c r="A67" s="90">
        <f t="shared" si="0"/>
        <v>103</v>
      </c>
      <c r="B67" s="72" t="s">
        <v>198</v>
      </c>
      <c r="C67" s="73" t="s">
        <v>238</v>
      </c>
      <c r="D67" s="59" t="s">
        <v>123</v>
      </c>
      <c r="E67" s="59" t="s">
        <v>195</v>
      </c>
      <c r="F67" s="3"/>
      <c r="G67" s="5"/>
      <c r="H67" s="3"/>
      <c r="I67" s="5"/>
      <c r="J67" s="3"/>
      <c r="K67" s="5"/>
      <c r="L67" s="3"/>
      <c r="M67" s="5"/>
      <c r="N67" s="3"/>
      <c r="O67" s="5"/>
      <c r="P67" s="3"/>
      <c r="Q67" s="5"/>
    </row>
    <row r="68" spans="1:17" x14ac:dyDescent="0.35">
      <c r="A68" s="90">
        <f t="shared" si="0"/>
        <v>104</v>
      </c>
      <c r="B68" s="72" t="s">
        <v>198</v>
      </c>
      <c r="C68" s="73" t="s">
        <v>209</v>
      </c>
      <c r="D68" s="59" t="s">
        <v>123</v>
      </c>
      <c r="E68" s="59" t="s">
        <v>195</v>
      </c>
      <c r="F68" s="3"/>
      <c r="G68" s="5"/>
      <c r="H68" s="3"/>
      <c r="I68" s="5"/>
      <c r="J68" s="3"/>
      <c r="K68" s="5"/>
      <c r="L68" s="3"/>
      <c r="M68" s="5"/>
      <c r="N68" s="3"/>
      <c r="O68" s="5"/>
      <c r="P68" s="3"/>
      <c r="Q68" s="5"/>
    </row>
    <row r="69" spans="1:17" x14ac:dyDescent="0.35">
      <c r="A69" s="90">
        <f t="shared" si="0"/>
        <v>105</v>
      </c>
      <c r="B69" s="72" t="s">
        <v>198</v>
      </c>
      <c r="C69" s="73" t="s">
        <v>210</v>
      </c>
      <c r="D69" s="59" t="s">
        <v>123</v>
      </c>
      <c r="E69" s="59" t="s">
        <v>195</v>
      </c>
      <c r="F69" s="3"/>
      <c r="G69" s="5"/>
      <c r="H69" s="3"/>
      <c r="I69" s="5"/>
      <c r="J69" s="3"/>
      <c r="K69" s="5"/>
      <c r="L69" s="3"/>
      <c r="M69" s="5"/>
      <c r="N69" s="3"/>
      <c r="O69" s="5"/>
      <c r="P69" s="3"/>
      <c r="Q69" s="5"/>
    </row>
    <row r="70" spans="1:17" x14ac:dyDescent="0.35">
      <c r="A70" s="90">
        <f t="shared" si="0"/>
        <v>106</v>
      </c>
      <c r="B70" s="72" t="s">
        <v>198</v>
      </c>
      <c r="C70" s="73" t="s">
        <v>239</v>
      </c>
      <c r="D70" s="59" t="s">
        <v>123</v>
      </c>
      <c r="E70" s="59" t="s">
        <v>195</v>
      </c>
      <c r="F70" s="3"/>
      <c r="G70" s="5"/>
      <c r="H70" s="3"/>
      <c r="I70" s="5"/>
      <c r="J70" s="3"/>
      <c r="K70" s="5"/>
      <c r="L70" s="3"/>
      <c r="M70" s="5"/>
      <c r="N70" s="3"/>
      <c r="O70" s="5"/>
      <c r="P70" s="3"/>
      <c r="Q70" s="5"/>
    </row>
    <row r="71" spans="1:17" ht="33" customHeight="1" x14ac:dyDescent="0.35">
      <c r="A71" s="90">
        <f t="shared" si="0"/>
        <v>107</v>
      </c>
      <c r="B71" s="72" t="s">
        <v>198</v>
      </c>
      <c r="C71" s="57" t="s">
        <v>240</v>
      </c>
      <c r="D71" s="81" t="s">
        <v>123</v>
      </c>
      <c r="E71" s="76" t="s">
        <v>241</v>
      </c>
      <c r="F71" s="3"/>
      <c r="G71" s="5"/>
      <c r="H71" s="3"/>
      <c r="I71" s="5"/>
      <c r="J71" s="3"/>
      <c r="K71" s="5"/>
      <c r="L71" s="3"/>
      <c r="M71" s="5"/>
      <c r="N71" s="3"/>
      <c r="O71" s="5"/>
      <c r="P71" s="3"/>
      <c r="Q71" s="5"/>
    </row>
    <row r="72" spans="1:17" x14ac:dyDescent="0.35">
      <c r="A72" s="90">
        <f t="shared" si="0"/>
        <v>108</v>
      </c>
      <c r="B72" s="72" t="s">
        <v>242</v>
      </c>
      <c r="C72" s="73" t="s">
        <v>243</v>
      </c>
      <c r="D72" s="59" t="s">
        <v>123</v>
      </c>
      <c r="E72" s="59" t="s">
        <v>177</v>
      </c>
      <c r="F72" s="3"/>
      <c r="G72" s="5"/>
      <c r="H72" s="3"/>
      <c r="I72" s="5"/>
      <c r="J72" s="3"/>
      <c r="K72" s="5"/>
      <c r="L72" s="3"/>
      <c r="M72" s="5"/>
      <c r="N72" s="3"/>
      <c r="O72" s="5"/>
      <c r="P72" s="3"/>
      <c r="Q72" s="5"/>
    </row>
    <row r="73" spans="1:17" x14ac:dyDescent="0.35">
      <c r="A73" s="90">
        <f t="shared" si="0"/>
        <v>109</v>
      </c>
      <c r="B73" s="72" t="s">
        <v>242</v>
      </c>
      <c r="C73" s="73" t="s">
        <v>244</v>
      </c>
      <c r="D73" s="59" t="s">
        <v>123</v>
      </c>
      <c r="E73" s="59" t="s">
        <v>177</v>
      </c>
      <c r="F73" s="3"/>
      <c r="G73" s="5"/>
      <c r="H73" s="3"/>
      <c r="I73" s="5"/>
      <c r="J73" s="3"/>
      <c r="K73" s="5"/>
      <c r="L73" s="3"/>
      <c r="M73" s="5"/>
      <c r="N73" s="3"/>
      <c r="O73" s="5"/>
      <c r="P73" s="3"/>
      <c r="Q73" s="5"/>
    </row>
    <row r="74" spans="1:17" x14ac:dyDescent="0.35">
      <c r="A74" s="90">
        <f t="shared" ref="A74:A108" si="1">A73+1</f>
        <v>110</v>
      </c>
      <c r="B74" s="72" t="s">
        <v>242</v>
      </c>
      <c r="C74" s="73" t="s">
        <v>245</v>
      </c>
      <c r="D74" s="59" t="s">
        <v>123</v>
      </c>
      <c r="E74" s="59" t="s">
        <v>177</v>
      </c>
      <c r="F74" s="3"/>
      <c r="G74" s="4"/>
      <c r="H74" s="3"/>
      <c r="I74" s="4"/>
      <c r="J74" s="3"/>
      <c r="K74" s="4"/>
      <c r="L74" s="3"/>
      <c r="M74" s="4"/>
      <c r="N74" s="3"/>
      <c r="O74" s="4"/>
      <c r="P74" s="3"/>
      <c r="Q74" s="4"/>
    </row>
    <row r="75" spans="1:17" x14ac:dyDescent="0.35">
      <c r="A75" s="90">
        <f t="shared" si="1"/>
        <v>111</v>
      </c>
      <c r="B75" s="72" t="s">
        <v>242</v>
      </c>
      <c r="C75" s="73" t="s">
        <v>246</v>
      </c>
      <c r="D75" s="59" t="s">
        <v>123</v>
      </c>
      <c r="E75" s="59" t="s">
        <v>177</v>
      </c>
      <c r="F75" s="3"/>
      <c r="G75" s="4"/>
      <c r="H75" s="3"/>
      <c r="I75" s="4"/>
      <c r="J75" s="3"/>
      <c r="K75" s="4"/>
      <c r="L75" s="3"/>
      <c r="M75" s="4"/>
      <c r="N75" s="3"/>
      <c r="O75" s="4"/>
      <c r="P75" s="3"/>
      <c r="Q75" s="4"/>
    </row>
    <row r="76" spans="1:17" x14ac:dyDescent="0.35">
      <c r="A76" s="90">
        <f t="shared" si="1"/>
        <v>112</v>
      </c>
      <c r="B76" s="72" t="s">
        <v>242</v>
      </c>
      <c r="C76" s="73" t="s">
        <v>247</v>
      </c>
      <c r="D76" s="59" t="s">
        <v>123</v>
      </c>
      <c r="E76" s="80" t="s">
        <v>177</v>
      </c>
      <c r="F76" s="3"/>
      <c r="G76" s="4"/>
      <c r="H76" s="3"/>
      <c r="I76" s="4"/>
      <c r="J76" s="3"/>
      <c r="K76" s="4"/>
      <c r="L76" s="3"/>
      <c r="M76" s="4"/>
      <c r="N76" s="3"/>
      <c r="O76" s="4"/>
      <c r="P76" s="3"/>
      <c r="Q76" s="4"/>
    </row>
    <row r="77" spans="1:17" ht="33" customHeight="1" x14ac:dyDescent="0.35">
      <c r="A77" s="90">
        <f t="shared" si="1"/>
        <v>113</v>
      </c>
      <c r="B77" s="72" t="s">
        <v>242</v>
      </c>
      <c r="C77" s="73" t="s">
        <v>248</v>
      </c>
      <c r="D77" s="81" t="s">
        <v>123</v>
      </c>
      <c r="E77" s="82" t="s">
        <v>241</v>
      </c>
      <c r="F77" s="3"/>
      <c r="G77" s="4"/>
      <c r="H77" s="3"/>
      <c r="I77" s="4"/>
      <c r="J77" s="3"/>
      <c r="K77" s="4"/>
      <c r="L77" s="3"/>
      <c r="M77" s="4"/>
      <c r="N77" s="3"/>
      <c r="O77" s="4"/>
      <c r="P77" s="3"/>
      <c r="Q77" s="4"/>
    </row>
    <row r="78" spans="1:17" x14ac:dyDescent="0.35">
      <c r="A78" s="90">
        <f t="shared" si="1"/>
        <v>114</v>
      </c>
      <c r="B78" s="72" t="s">
        <v>242</v>
      </c>
      <c r="C78" s="75" t="s">
        <v>249</v>
      </c>
      <c r="D78" s="76" t="s">
        <v>123</v>
      </c>
      <c r="E78" s="83" t="s">
        <v>177</v>
      </c>
      <c r="F78" s="3"/>
      <c r="G78" s="4"/>
      <c r="H78" s="3"/>
      <c r="I78" s="4"/>
      <c r="J78" s="3"/>
      <c r="K78" s="4"/>
      <c r="L78" s="3"/>
      <c r="M78" s="4"/>
      <c r="N78" s="3"/>
      <c r="O78" s="4"/>
      <c r="P78" s="3"/>
      <c r="Q78" s="4"/>
    </row>
    <row r="79" spans="1:17" x14ac:dyDescent="0.35">
      <c r="A79" s="90">
        <f t="shared" si="1"/>
        <v>115</v>
      </c>
      <c r="B79" s="72" t="s">
        <v>242</v>
      </c>
      <c r="C79" s="75" t="s">
        <v>250</v>
      </c>
      <c r="D79" s="76" t="s">
        <v>123</v>
      </c>
      <c r="E79" s="76" t="s">
        <v>177</v>
      </c>
      <c r="F79" s="3"/>
      <c r="G79" s="4"/>
      <c r="H79" s="3"/>
      <c r="I79" s="4"/>
      <c r="J79" s="3"/>
      <c r="K79" s="4"/>
      <c r="L79" s="3"/>
      <c r="M79" s="4"/>
      <c r="N79" s="3"/>
      <c r="O79" s="4"/>
      <c r="P79" s="3"/>
      <c r="Q79" s="4"/>
    </row>
    <row r="80" spans="1:17" x14ac:dyDescent="0.35">
      <c r="A80" s="90">
        <f t="shared" si="1"/>
        <v>116</v>
      </c>
      <c r="B80" s="72" t="s">
        <v>242</v>
      </c>
      <c r="C80" s="75" t="s">
        <v>251</v>
      </c>
      <c r="D80" s="76" t="s">
        <v>123</v>
      </c>
      <c r="E80" s="76" t="s">
        <v>177</v>
      </c>
      <c r="F80" s="3"/>
      <c r="G80" s="4"/>
      <c r="H80" s="3"/>
      <c r="I80" s="4"/>
      <c r="J80" s="3"/>
      <c r="K80" s="4"/>
      <c r="L80" s="3"/>
      <c r="M80" s="4"/>
      <c r="N80" s="3"/>
      <c r="O80" s="4"/>
      <c r="P80" s="3"/>
      <c r="Q80" s="4"/>
    </row>
    <row r="81" spans="1:17" x14ac:dyDescent="0.35">
      <c r="A81" s="90">
        <f t="shared" si="1"/>
        <v>117</v>
      </c>
      <c r="B81" s="72" t="s">
        <v>242</v>
      </c>
      <c r="C81" s="75" t="s">
        <v>252</v>
      </c>
      <c r="D81" s="76" t="s">
        <v>123</v>
      </c>
      <c r="E81" s="76" t="s">
        <v>177</v>
      </c>
      <c r="F81" s="3"/>
      <c r="G81" s="4"/>
      <c r="H81" s="3"/>
      <c r="I81" s="4"/>
      <c r="J81" s="3"/>
      <c r="K81" s="4"/>
      <c r="L81" s="3"/>
      <c r="M81" s="4"/>
      <c r="N81" s="3"/>
      <c r="O81" s="4"/>
      <c r="P81" s="3"/>
      <c r="Q81" s="4"/>
    </row>
    <row r="82" spans="1:17" ht="43.5" x14ac:dyDescent="0.35">
      <c r="A82" s="90">
        <f t="shared" si="1"/>
        <v>118</v>
      </c>
      <c r="B82" s="72" t="s">
        <v>242</v>
      </c>
      <c r="C82" s="57" t="s">
        <v>253</v>
      </c>
      <c r="D82" s="76" t="s">
        <v>207</v>
      </c>
      <c r="E82" s="76" t="s">
        <v>254</v>
      </c>
      <c r="F82" s="3"/>
      <c r="G82" s="4"/>
      <c r="H82" s="3"/>
      <c r="I82" s="4"/>
      <c r="J82" s="3"/>
      <c r="K82" s="4"/>
      <c r="L82" s="3"/>
      <c r="M82" s="4"/>
      <c r="N82" s="3"/>
      <c r="O82" s="4"/>
      <c r="P82" s="3"/>
      <c r="Q82" s="4"/>
    </row>
    <row r="83" spans="1:17" ht="29" x14ac:dyDescent="0.35">
      <c r="A83" s="90">
        <f t="shared" si="1"/>
        <v>119</v>
      </c>
      <c r="B83" s="72" t="s">
        <v>242</v>
      </c>
      <c r="C83" s="57" t="s">
        <v>255</v>
      </c>
      <c r="D83" s="76" t="s">
        <v>201</v>
      </c>
      <c r="E83" s="76" t="s">
        <v>256</v>
      </c>
      <c r="F83" s="3"/>
      <c r="G83" s="4"/>
      <c r="H83" s="3"/>
      <c r="I83" s="4"/>
      <c r="J83" s="3"/>
      <c r="K83" s="4"/>
      <c r="L83" s="3"/>
      <c r="M83" s="4"/>
      <c r="N83" s="3"/>
      <c r="O83" s="4"/>
      <c r="P83" s="3"/>
      <c r="Q83" s="4"/>
    </row>
    <row r="84" spans="1:17" x14ac:dyDescent="0.35">
      <c r="A84" s="90">
        <f t="shared" si="1"/>
        <v>120</v>
      </c>
      <c r="B84" s="72" t="s">
        <v>242</v>
      </c>
      <c r="C84" s="57" t="s">
        <v>257</v>
      </c>
      <c r="D84" s="76" t="s">
        <v>54</v>
      </c>
      <c r="E84" s="76" t="s">
        <v>212</v>
      </c>
      <c r="F84" s="3"/>
      <c r="G84" s="4"/>
      <c r="H84" s="3"/>
      <c r="I84" s="4"/>
      <c r="J84" s="3"/>
      <c r="K84" s="4"/>
      <c r="L84" s="3"/>
      <c r="M84" s="4"/>
      <c r="N84" s="3"/>
      <c r="O84" s="4"/>
      <c r="P84" s="3"/>
      <c r="Q84" s="4"/>
    </row>
    <row r="85" spans="1:17" x14ac:dyDescent="0.35">
      <c r="A85" s="90">
        <f t="shared" si="1"/>
        <v>121</v>
      </c>
      <c r="B85" s="72" t="s">
        <v>242</v>
      </c>
      <c r="C85" s="57" t="s">
        <v>258</v>
      </c>
      <c r="D85" s="76" t="s">
        <v>54</v>
      </c>
      <c r="E85" s="76" t="s">
        <v>212</v>
      </c>
      <c r="F85" s="3"/>
      <c r="G85" s="4"/>
      <c r="H85" s="3"/>
      <c r="I85" s="4"/>
      <c r="J85" s="3"/>
      <c r="K85" s="4"/>
      <c r="L85" s="3"/>
      <c r="M85" s="4"/>
      <c r="N85" s="3"/>
      <c r="O85" s="4"/>
      <c r="P85" s="3"/>
      <c r="Q85" s="4"/>
    </row>
    <row r="86" spans="1:17" x14ac:dyDescent="0.35">
      <c r="A86" s="90">
        <f t="shared" si="1"/>
        <v>122</v>
      </c>
      <c r="B86" s="72" t="s">
        <v>242</v>
      </c>
      <c r="C86" s="57" t="s">
        <v>259</v>
      </c>
      <c r="D86" s="81" t="s">
        <v>123</v>
      </c>
      <c r="E86" s="76" t="s">
        <v>212</v>
      </c>
      <c r="F86" s="3"/>
      <c r="G86" s="4"/>
      <c r="H86" s="3"/>
      <c r="I86" s="4"/>
      <c r="J86" s="3"/>
      <c r="K86" s="4"/>
      <c r="L86" s="3"/>
      <c r="M86" s="4"/>
      <c r="N86" s="3"/>
      <c r="O86" s="4"/>
      <c r="P86" s="3"/>
      <c r="Q86" s="4"/>
    </row>
    <row r="87" spans="1:17" x14ac:dyDescent="0.35">
      <c r="A87" s="90">
        <f t="shared" si="1"/>
        <v>123</v>
      </c>
      <c r="B87" s="72" t="s">
        <v>242</v>
      </c>
      <c r="C87" s="111" t="s">
        <v>260</v>
      </c>
      <c r="D87" s="81" t="s">
        <v>123</v>
      </c>
      <c r="E87" s="112" t="s">
        <v>261</v>
      </c>
      <c r="F87" s="3"/>
      <c r="G87" s="4"/>
      <c r="H87" s="3"/>
      <c r="I87" s="4"/>
      <c r="J87" s="3"/>
      <c r="K87" s="4"/>
      <c r="L87" s="3"/>
      <c r="M87" s="4"/>
      <c r="N87" s="3"/>
      <c r="O87" s="4"/>
      <c r="P87" s="3"/>
      <c r="Q87" s="4"/>
    </row>
    <row r="88" spans="1:17" x14ac:dyDescent="0.35">
      <c r="A88" s="90">
        <f t="shared" si="1"/>
        <v>124</v>
      </c>
      <c r="B88" s="72" t="s">
        <v>242</v>
      </c>
      <c r="C88" s="57" t="s">
        <v>262</v>
      </c>
      <c r="D88" s="81" t="s">
        <v>123</v>
      </c>
      <c r="E88" s="76" t="s">
        <v>212</v>
      </c>
      <c r="F88" s="3"/>
      <c r="G88" s="4"/>
      <c r="H88" s="3"/>
      <c r="I88" s="4"/>
      <c r="J88" s="3"/>
      <c r="K88" s="4"/>
      <c r="L88" s="3"/>
      <c r="M88" s="4"/>
      <c r="N88" s="3"/>
      <c r="O88" s="4"/>
      <c r="P88" s="3"/>
      <c r="Q88" s="4"/>
    </row>
    <row r="89" spans="1:17" x14ac:dyDescent="0.35">
      <c r="A89" s="90">
        <f t="shared" si="1"/>
        <v>125</v>
      </c>
      <c r="B89" s="72" t="s">
        <v>242</v>
      </c>
      <c r="C89" s="111" t="s">
        <v>263</v>
      </c>
      <c r="D89" s="81" t="s">
        <v>123</v>
      </c>
      <c r="E89" s="112" t="s">
        <v>264</v>
      </c>
      <c r="F89" s="3"/>
      <c r="G89" s="4"/>
      <c r="H89" s="3"/>
      <c r="I89" s="4"/>
      <c r="J89" s="3"/>
      <c r="K89" s="4"/>
      <c r="L89" s="3"/>
      <c r="M89" s="4"/>
      <c r="N89" s="3"/>
      <c r="O89" s="4"/>
      <c r="P89" s="3"/>
      <c r="Q89" s="4"/>
    </row>
    <row r="90" spans="1:17" x14ac:dyDescent="0.35">
      <c r="A90" s="90">
        <f t="shared" si="1"/>
        <v>126</v>
      </c>
      <c r="B90" s="72" t="s">
        <v>242</v>
      </c>
      <c r="C90" s="111" t="s">
        <v>265</v>
      </c>
      <c r="D90" s="81" t="s">
        <v>123</v>
      </c>
      <c r="E90" s="76" t="s">
        <v>212</v>
      </c>
      <c r="F90" s="3"/>
      <c r="G90" s="4"/>
      <c r="H90" s="3"/>
      <c r="I90" s="4"/>
      <c r="J90" s="3"/>
      <c r="K90" s="4"/>
      <c r="L90" s="3"/>
      <c r="M90" s="4"/>
      <c r="N90" s="3"/>
      <c r="O90" s="4"/>
      <c r="P90" s="3"/>
      <c r="Q90" s="4"/>
    </row>
    <row r="91" spans="1:17" ht="32.25" customHeight="1" x14ac:dyDescent="0.35">
      <c r="A91" s="90">
        <f t="shared" si="1"/>
        <v>127</v>
      </c>
      <c r="B91" s="72" t="s">
        <v>242</v>
      </c>
      <c r="C91" s="57" t="s">
        <v>266</v>
      </c>
      <c r="D91" s="81" t="s">
        <v>123</v>
      </c>
      <c r="E91" s="76" t="s">
        <v>241</v>
      </c>
      <c r="F91" s="3"/>
      <c r="G91" s="4"/>
      <c r="H91" s="3"/>
      <c r="I91" s="4"/>
      <c r="J91" s="3"/>
      <c r="K91" s="4"/>
      <c r="L91" s="3"/>
      <c r="M91" s="4"/>
      <c r="N91" s="3"/>
      <c r="O91" s="4"/>
      <c r="P91" s="3"/>
      <c r="Q91" s="4"/>
    </row>
    <row r="92" spans="1:17" ht="40" customHeight="1" x14ac:dyDescent="0.35">
      <c r="A92" s="90">
        <f t="shared" si="1"/>
        <v>128</v>
      </c>
      <c r="B92" s="72" t="s">
        <v>242</v>
      </c>
      <c r="C92" s="57" t="s">
        <v>267</v>
      </c>
      <c r="D92" s="76" t="s">
        <v>268</v>
      </c>
      <c r="E92" s="76" t="s">
        <v>269</v>
      </c>
      <c r="F92" s="3"/>
      <c r="G92" s="4"/>
      <c r="H92" s="3"/>
      <c r="I92" s="4"/>
      <c r="J92" s="3"/>
      <c r="K92" s="4"/>
      <c r="L92" s="3"/>
      <c r="M92" s="4"/>
      <c r="N92" s="3"/>
      <c r="O92" s="4"/>
      <c r="P92" s="3"/>
      <c r="Q92" s="4"/>
    </row>
    <row r="93" spans="1:17" ht="29" x14ac:dyDescent="0.35">
      <c r="A93" s="90">
        <f t="shared" si="1"/>
        <v>129</v>
      </c>
      <c r="B93" s="72" t="s">
        <v>242</v>
      </c>
      <c r="C93" s="73" t="s">
        <v>270</v>
      </c>
      <c r="D93" s="59" t="s">
        <v>123</v>
      </c>
      <c r="E93" s="82" t="s">
        <v>271</v>
      </c>
      <c r="F93" s="3"/>
      <c r="G93" s="4"/>
      <c r="H93" s="3"/>
      <c r="I93" s="4"/>
      <c r="J93" s="3"/>
      <c r="K93" s="4"/>
      <c r="L93" s="3"/>
      <c r="M93" s="4"/>
      <c r="N93" s="3"/>
      <c r="O93" s="4"/>
      <c r="P93" s="3"/>
      <c r="Q93" s="4"/>
    </row>
    <row r="94" spans="1:17" x14ac:dyDescent="0.35">
      <c r="A94" s="90">
        <f t="shared" si="1"/>
        <v>130</v>
      </c>
      <c r="B94" s="72" t="s">
        <v>272</v>
      </c>
      <c r="C94" s="73" t="s">
        <v>247</v>
      </c>
      <c r="D94" s="59" t="s">
        <v>123</v>
      </c>
      <c r="E94" s="59" t="s">
        <v>177</v>
      </c>
      <c r="F94" s="3"/>
      <c r="G94" s="4"/>
      <c r="H94" s="3"/>
      <c r="I94" s="4"/>
      <c r="J94" s="3"/>
      <c r="K94" s="4"/>
      <c r="L94" s="3"/>
      <c r="M94" s="4"/>
      <c r="N94" s="3"/>
      <c r="O94" s="4"/>
      <c r="P94" s="3"/>
      <c r="Q94" s="4"/>
    </row>
    <row r="95" spans="1:17" x14ac:dyDescent="0.35">
      <c r="A95" s="90">
        <f t="shared" si="1"/>
        <v>131</v>
      </c>
      <c r="B95" s="72" t="s">
        <v>272</v>
      </c>
      <c r="C95" s="73" t="s">
        <v>273</v>
      </c>
      <c r="D95" s="59" t="s">
        <v>123</v>
      </c>
      <c r="E95" s="59" t="s">
        <v>177</v>
      </c>
      <c r="F95" s="3"/>
      <c r="G95" s="4"/>
      <c r="H95" s="3"/>
      <c r="I95" s="4"/>
      <c r="J95" s="3"/>
      <c r="K95" s="4"/>
      <c r="L95" s="3"/>
      <c r="M95" s="4"/>
      <c r="N95" s="3"/>
      <c r="O95" s="4"/>
      <c r="P95" s="3"/>
      <c r="Q95" s="4"/>
    </row>
    <row r="96" spans="1:17" x14ac:dyDescent="0.35">
      <c r="A96" s="90">
        <f t="shared" si="1"/>
        <v>132</v>
      </c>
      <c r="B96" s="72" t="s">
        <v>272</v>
      </c>
      <c r="C96" s="73" t="s">
        <v>274</v>
      </c>
      <c r="D96" s="59" t="s">
        <v>123</v>
      </c>
      <c r="E96" s="59" t="s">
        <v>177</v>
      </c>
      <c r="F96" s="3"/>
      <c r="G96" s="4"/>
      <c r="H96" s="3"/>
      <c r="I96" s="4"/>
      <c r="J96" s="3"/>
      <c r="K96" s="4"/>
      <c r="L96" s="3"/>
      <c r="M96" s="4"/>
      <c r="N96" s="3"/>
      <c r="O96" s="4"/>
      <c r="P96" s="3"/>
      <c r="Q96" s="4"/>
    </row>
    <row r="97" spans="1:17" x14ac:dyDescent="0.35">
      <c r="A97" s="90">
        <f t="shared" si="1"/>
        <v>133</v>
      </c>
      <c r="B97" s="72" t="s">
        <v>272</v>
      </c>
      <c r="C97" s="73" t="s">
        <v>275</v>
      </c>
      <c r="D97" s="59" t="s">
        <v>123</v>
      </c>
      <c r="E97" s="59" t="s">
        <v>177</v>
      </c>
      <c r="F97" s="3"/>
      <c r="G97" s="4"/>
      <c r="H97" s="3"/>
      <c r="I97" s="4"/>
      <c r="J97" s="3"/>
      <c r="K97" s="4"/>
      <c r="L97" s="3"/>
      <c r="M97" s="4"/>
      <c r="N97" s="3"/>
      <c r="O97" s="4"/>
      <c r="P97" s="3"/>
      <c r="Q97" s="4"/>
    </row>
    <row r="98" spans="1:17" x14ac:dyDescent="0.35">
      <c r="A98" s="90">
        <f t="shared" si="1"/>
        <v>134</v>
      </c>
      <c r="B98" s="72" t="s">
        <v>272</v>
      </c>
      <c r="C98" s="73" t="s">
        <v>276</v>
      </c>
      <c r="D98" s="59" t="s">
        <v>123</v>
      </c>
      <c r="E98" s="59" t="s">
        <v>177</v>
      </c>
      <c r="F98" s="3"/>
      <c r="G98" s="4"/>
      <c r="H98" s="3"/>
      <c r="I98" s="4"/>
      <c r="J98" s="3"/>
      <c r="K98" s="4"/>
      <c r="L98" s="3"/>
      <c r="M98" s="4"/>
      <c r="N98" s="3"/>
      <c r="O98" s="4"/>
      <c r="P98" s="3"/>
      <c r="Q98" s="4"/>
    </row>
    <row r="99" spans="1:17" x14ac:dyDescent="0.35">
      <c r="A99" s="90">
        <f t="shared" si="1"/>
        <v>135</v>
      </c>
      <c r="B99" s="72" t="s">
        <v>272</v>
      </c>
      <c r="C99" s="73" t="s">
        <v>277</v>
      </c>
      <c r="D99" s="59" t="s">
        <v>123</v>
      </c>
      <c r="E99" s="59" t="s">
        <v>177</v>
      </c>
      <c r="F99" s="3"/>
      <c r="G99" s="4"/>
      <c r="H99" s="3"/>
      <c r="I99" s="4"/>
      <c r="J99" s="3"/>
      <c r="K99" s="4"/>
      <c r="L99" s="3"/>
      <c r="M99" s="4"/>
      <c r="N99" s="3"/>
      <c r="O99" s="4"/>
      <c r="P99" s="3"/>
      <c r="Q99" s="4"/>
    </row>
    <row r="100" spans="1:17" x14ac:dyDescent="0.35">
      <c r="A100" s="90">
        <f t="shared" si="1"/>
        <v>136</v>
      </c>
      <c r="B100" s="72" t="s">
        <v>272</v>
      </c>
      <c r="C100" s="73" t="s">
        <v>278</v>
      </c>
      <c r="D100" s="59" t="s">
        <v>123</v>
      </c>
      <c r="E100" s="59" t="s">
        <v>177</v>
      </c>
      <c r="F100" s="3"/>
      <c r="G100" s="4"/>
      <c r="H100" s="3"/>
      <c r="I100" s="4"/>
      <c r="J100" s="3"/>
      <c r="K100" s="4"/>
      <c r="L100" s="3"/>
      <c r="M100" s="4"/>
      <c r="N100" s="3"/>
      <c r="O100" s="4"/>
      <c r="P100" s="3"/>
      <c r="Q100" s="4"/>
    </row>
    <row r="101" spans="1:17" x14ac:dyDescent="0.35">
      <c r="A101" s="90">
        <f t="shared" si="1"/>
        <v>137</v>
      </c>
      <c r="B101" s="72" t="s">
        <v>272</v>
      </c>
      <c r="C101" s="73" t="s">
        <v>279</v>
      </c>
      <c r="D101" s="59" t="s">
        <v>123</v>
      </c>
      <c r="E101" s="59" t="s">
        <v>177</v>
      </c>
      <c r="F101" s="3"/>
      <c r="G101" s="4"/>
      <c r="H101" s="3"/>
      <c r="I101" s="4"/>
      <c r="J101" s="3"/>
      <c r="K101" s="4"/>
      <c r="L101" s="3"/>
      <c r="M101" s="4"/>
      <c r="N101" s="3"/>
      <c r="O101" s="4"/>
      <c r="P101" s="3"/>
      <c r="Q101" s="4"/>
    </row>
    <row r="102" spans="1:17" x14ac:dyDescent="0.35">
      <c r="A102" s="90">
        <f t="shared" si="1"/>
        <v>138</v>
      </c>
      <c r="B102" s="72" t="s">
        <v>272</v>
      </c>
      <c r="C102" s="73" t="s">
        <v>280</v>
      </c>
      <c r="D102" s="59" t="s">
        <v>123</v>
      </c>
      <c r="E102" s="59" t="s">
        <v>177</v>
      </c>
      <c r="F102" s="3"/>
      <c r="G102" s="4"/>
      <c r="H102" s="3"/>
      <c r="I102" s="4"/>
      <c r="J102" s="3"/>
      <c r="K102" s="4"/>
      <c r="L102" s="3"/>
      <c r="M102" s="4"/>
      <c r="N102" s="3"/>
      <c r="O102" s="4"/>
      <c r="P102" s="3"/>
      <c r="Q102" s="4"/>
    </row>
    <row r="103" spans="1:17" x14ac:dyDescent="0.35">
      <c r="A103" s="90">
        <f t="shared" si="1"/>
        <v>139</v>
      </c>
      <c r="B103" s="72" t="s">
        <v>272</v>
      </c>
      <c r="C103" s="73" t="s">
        <v>281</v>
      </c>
      <c r="D103" s="59" t="s">
        <v>123</v>
      </c>
      <c r="E103" s="59" t="s">
        <v>177</v>
      </c>
      <c r="F103" s="3"/>
      <c r="G103" s="4"/>
      <c r="H103" s="3"/>
      <c r="I103" s="4"/>
      <c r="J103" s="3"/>
      <c r="K103" s="4"/>
      <c r="L103" s="3"/>
      <c r="M103" s="4"/>
      <c r="N103" s="3"/>
      <c r="O103" s="4"/>
      <c r="P103" s="3"/>
      <c r="Q103" s="4"/>
    </row>
    <row r="104" spans="1:17" ht="32.25" customHeight="1" x14ac:dyDescent="0.35">
      <c r="A104" s="90">
        <f t="shared" si="1"/>
        <v>140</v>
      </c>
      <c r="B104" s="72" t="s">
        <v>272</v>
      </c>
      <c r="C104" s="73" t="s">
        <v>282</v>
      </c>
      <c r="D104" s="59" t="s">
        <v>123</v>
      </c>
      <c r="E104" s="59" t="s">
        <v>177</v>
      </c>
      <c r="F104" s="3"/>
      <c r="G104" s="4"/>
      <c r="H104" s="3"/>
      <c r="I104" s="4"/>
      <c r="J104" s="3"/>
      <c r="K104" s="4"/>
      <c r="L104" s="3"/>
      <c r="M104" s="4"/>
      <c r="N104" s="3"/>
      <c r="O104" s="4"/>
      <c r="P104" s="3"/>
      <c r="Q104" s="4"/>
    </row>
    <row r="105" spans="1:17" ht="32.25" customHeight="1" x14ac:dyDescent="0.35">
      <c r="A105" s="90">
        <f t="shared" si="1"/>
        <v>141</v>
      </c>
      <c r="B105" s="72" t="s">
        <v>272</v>
      </c>
      <c r="C105" s="57" t="s">
        <v>283</v>
      </c>
      <c r="D105" s="81" t="s">
        <v>123</v>
      </c>
      <c r="E105" s="76" t="s">
        <v>241</v>
      </c>
      <c r="F105" s="3"/>
      <c r="G105" s="4"/>
      <c r="H105" s="3"/>
      <c r="I105" s="4"/>
      <c r="J105" s="3"/>
      <c r="K105" s="4"/>
      <c r="L105" s="3"/>
      <c r="M105" s="4"/>
      <c r="N105" s="3"/>
      <c r="O105" s="4"/>
      <c r="P105" s="3"/>
      <c r="Q105" s="4"/>
    </row>
    <row r="106" spans="1:17" x14ac:dyDescent="0.35">
      <c r="A106" s="90">
        <f t="shared" si="1"/>
        <v>142</v>
      </c>
      <c r="B106" s="72" t="s">
        <v>272</v>
      </c>
      <c r="C106" s="73" t="s">
        <v>284</v>
      </c>
      <c r="D106" s="59" t="s">
        <v>123</v>
      </c>
      <c r="E106" s="59" t="s">
        <v>177</v>
      </c>
      <c r="F106" s="3"/>
      <c r="G106" s="4"/>
      <c r="H106" s="3"/>
      <c r="I106" s="4"/>
      <c r="J106" s="3"/>
      <c r="K106" s="4"/>
      <c r="L106" s="3"/>
      <c r="M106" s="4"/>
      <c r="N106" s="3"/>
      <c r="O106" s="4"/>
      <c r="P106" s="3"/>
      <c r="Q106" s="4"/>
    </row>
    <row r="107" spans="1:17" ht="29" x14ac:dyDescent="0.35">
      <c r="A107" s="90">
        <f t="shared" si="1"/>
        <v>143</v>
      </c>
      <c r="B107" s="72" t="s">
        <v>272</v>
      </c>
      <c r="C107" s="73" t="s">
        <v>270</v>
      </c>
      <c r="D107" s="59" t="s">
        <v>123</v>
      </c>
      <c r="E107" s="82" t="s">
        <v>271</v>
      </c>
      <c r="F107" s="3"/>
      <c r="G107" s="4"/>
      <c r="H107" s="3"/>
      <c r="I107" s="4"/>
      <c r="J107" s="3"/>
      <c r="K107" s="4"/>
      <c r="L107" s="3"/>
      <c r="M107" s="4"/>
      <c r="N107" s="3"/>
      <c r="O107" s="4"/>
      <c r="P107" s="3"/>
      <c r="Q107" s="4"/>
    </row>
    <row r="108" spans="1:17" ht="29" x14ac:dyDescent="0.35">
      <c r="A108" s="90">
        <f t="shared" si="1"/>
        <v>144</v>
      </c>
      <c r="B108" s="72" t="s">
        <v>272</v>
      </c>
      <c r="C108" s="73" t="s">
        <v>285</v>
      </c>
      <c r="D108" s="59" t="s">
        <v>123</v>
      </c>
      <c r="E108" s="82" t="s">
        <v>271</v>
      </c>
      <c r="F108" s="3"/>
      <c r="G108" s="4"/>
      <c r="H108" s="3"/>
      <c r="I108" s="4"/>
      <c r="J108" s="3"/>
      <c r="K108" s="4"/>
      <c r="L108" s="3"/>
      <c r="M108" s="4"/>
      <c r="N108" s="3"/>
      <c r="O108" s="4"/>
      <c r="P108" s="3"/>
      <c r="Q108" s="4"/>
    </row>
    <row r="109" spans="1:17" x14ac:dyDescent="0.35">
      <c r="A109" s="91"/>
      <c r="B109" s="84"/>
      <c r="C109" s="85"/>
      <c r="D109" s="86"/>
      <c r="E109" s="86"/>
      <c r="F109" s="87"/>
      <c r="G109" s="88"/>
      <c r="H109" s="87"/>
      <c r="I109" s="88"/>
      <c r="J109" s="87"/>
      <c r="K109" s="88"/>
      <c r="L109" s="87"/>
      <c r="M109" s="88"/>
      <c r="N109" s="87"/>
      <c r="O109" s="88"/>
      <c r="P109" s="87"/>
      <c r="Q109" s="88"/>
    </row>
    <row r="113" spans="1:3" hidden="1" x14ac:dyDescent="0.35">
      <c r="A113" s="69"/>
      <c r="C113" s="70"/>
    </row>
  </sheetData>
  <sheetProtection algorithmName="SHA-512" hashValue="Ci+Niv+GwSrqZgz6A19dCmKBt6AHgjYIBONARQN4vDKY3B8BlWV1SgF8iWm1pikbU7vut/ztheunXKc3HIFrGA==" saltValue="QGXtszFCs+SQ0TP4/E1/yw==" spinCount="100000" sheet="1" formatCells="0" formatColumns="0" formatRows="0" insertColumns="0" insertRows="0" deleteColumns="0" deleteRows="0"/>
  <mergeCells count="20">
    <mergeCell ref="J4:K4"/>
    <mergeCell ref="L4:M4"/>
    <mergeCell ref="B2:C2"/>
    <mergeCell ref="B3:C4"/>
    <mergeCell ref="P6:Q6"/>
    <mergeCell ref="P4:Q4"/>
    <mergeCell ref="F5:G5"/>
    <mergeCell ref="H5:I5"/>
    <mergeCell ref="J5:K5"/>
    <mergeCell ref="L5:M5"/>
    <mergeCell ref="N5:O5"/>
    <mergeCell ref="P5:Q5"/>
    <mergeCell ref="N4:O4"/>
    <mergeCell ref="F6:G6"/>
    <mergeCell ref="H6:I6"/>
    <mergeCell ref="J6:K6"/>
    <mergeCell ref="L6:M6"/>
    <mergeCell ref="N6:O6"/>
    <mergeCell ref="F4:G4"/>
    <mergeCell ref="H4:I4"/>
  </mergeCells>
  <phoneticPr fontId="34" type="noConversion"/>
  <pageMargins left="0.7" right="0.7" top="0.75" bottom="0.75" header="0.3" footer="0.3"/>
  <pageSetup paperSize="9" scale="3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8BA54-5D0F-4EA1-9DA0-012B303A01D0}">
  <dimension ref="A1:U22"/>
  <sheetViews>
    <sheetView topLeftCell="A3" workbookViewId="0">
      <selection activeCell="B15" sqref="B15"/>
    </sheetView>
  </sheetViews>
  <sheetFormatPr defaultColWidth="0" defaultRowHeight="14.5" customHeight="1" zeroHeight="1" x14ac:dyDescent="0.35"/>
  <cols>
    <col min="1" max="1" width="3.7265625" style="6" customWidth="1"/>
    <col min="2" max="21" width="9.1796875" style="9" customWidth="1"/>
    <col min="22" max="16384" width="9.1796875" style="6" hidden="1"/>
  </cols>
  <sheetData>
    <row r="1" spans="1:16" s="9" customFormat="1" x14ac:dyDescent="0.35"/>
    <row r="2" spans="1:16" ht="18" x14ac:dyDescent="0.35">
      <c r="A2" s="9"/>
      <c r="B2" s="144" t="s">
        <v>286</v>
      </c>
      <c r="C2" s="144"/>
      <c r="D2" s="144"/>
      <c r="E2" s="144"/>
      <c r="F2" s="144"/>
      <c r="G2" s="144"/>
      <c r="H2" s="144"/>
      <c r="I2" s="144"/>
      <c r="J2" s="144"/>
    </row>
    <row r="3" spans="1:16" x14ac:dyDescent="0.35">
      <c r="A3" s="9"/>
    </row>
    <row r="4" spans="1:16" x14ac:dyDescent="0.35">
      <c r="A4" s="9"/>
      <c r="B4" s="16" t="s">
        <v>287</v>
      </c>
    </row>
    <row r="5" spans="1:16" x14ac:dyDescent="0.35">
      <c r="A5" s="9"/>
      <c r="B5" s="9" t="s">
        <v>288</v>
      </c>
    </row>
    <row r="6" spans="1:16" x14ac:dyDescent="0.35">
      <c r="A6" s="9"/>
      <c r="B6" s="17" t="s">
        <v>289</v>
      </c>
    </row>
    <row r="7" spans="1:16" x14ac:dyDescent="0.35">
      <c r="A7" s="9"/>
      <c r="B7" s="9" t="s">
        <v>290</v>
      </c>
    </row>
    <row r="8" spans="1:16" x14ac:dyDescent="0.35">
      <c r="A8" s="9"/>
      <c r="B8" s="9" t="s">
        <v>291</v>
      </c>
    </row>
    <row r="9" spans="1:16" ht="44.25" customHeight="1" x14ac:dyDescent="0.35">
      <c r="A9" s="9"/>
      <c r="B9" s="145" t="s">
        <v>292</v>
      </c>
      <c r="C9" s="146"/>
      <c r="D9" s="146"/>
      <c r="E9" s="146"/>
      <c r="F9" s="146"/>
      <c r="G9" s="146"/>
      <c r="H9" s="146"/>
      <c r="I9" s="146"/>
      <c r="J9" s="146"/>
      <c r="K9" s="146"/>
      <c r="L9" s="146"/>
      <c r="M9" s="146"/>
      <c r="N9" s="146"/>
      <c r="O9" s="146"/>
      <c r="P9" s="146"/>
    </row>
    <row r="10" spans="1:16" x14ac:dyDescent="0.35">
      <c r="A10" s="9"/>
    </row>
    <row r="11" spans="1:16" x14ac:dyDescent="0.35">
      <c r="A11" s="9"/>
      <c r="B11" s="16" t="s">
        <v>293</v>
      </c>
    </row>
    <row r="12" spans="1:16" x14ac:dyDescent="0.35">
      <c r="A12" s="9"/>
      <c r="B12" s="9" t="s">
        <v>294</v>
      </c>
    </row>
    <row r="13" spans="1:16" x14ac:dyDescent="0.35">
      <c r="A13" s="9"/>
      <c r="B13" s="9" t="s">
        <v>295</v>
      </c>
    </row>
    <row r="14" spans="1:16" x14ac:dyDescent="0.35">
      <c r="A14" s="9"/>
      <c r="B14" s="16" t="s">
        <v>296</v>
      </c>
    </row>
    <row r="15" spans="1:16" x14ac:dyDescent="0.35">
      <c r="A15" s="9"/>
      <c r="B15" s="17" t="s">
        <v>297</v>
      </c>
    </row>
    <row r="16" spans="1:16" x14ac:dyDescent="0.35">
      <c r="A16" s="9"/>
      <c r="B16" s="17"/>
    </row>
    <row r="17" spans="1:19" x14ac:dyDescent="0.35">
      <c r="A17" s="9"/>
      <c r="B17" s="17"/>
    </row>
    <row r="18" spans="1:19" x14ac:dyDescent="0.35">
      <c r="A18" s="9"/>
      <c r="B18" s="16" t="s">
        <v>298</v>
      </c>
    </row>
    <row r="19" spans="1:19" ht="15" customHeight="1" x14ac:dyDescent="0.35">
      <c r="A19" s="9"/>
      <c r="B19" s="18"/>
      <c r="C19" s="18"/>
      <c r="D19" s="18"/>
      <c r="E19" s="18"/>
      <c r="F19" s="18"/>
      <c r="G19" s="18"/>
      <c r="H19" s="18"/>
      <c r="I19" s="18"/>
      <c r="J19" s="18"/>
      <c r="K19" s="18"/>
      <c r="L19" s="18"/>
      <c r="M19" s="18"/>
      <c r="N19" s="18"/>
      <c r="O19" s="18"/>
      <c r="P19" s="18"/>
      <c r="Q19" s="18"/>
      <c r="R19" s="18"/>
      <c r="S19" s="18"/>
    </row>
    <row r="20" spans="1:19" x14ac:dyDescent="0.35">
      <c r="A20" s="9"/>
      <c r="B20" s="18"/>
      <c r="C20" s="18"/>
      <c r="D20" s="18"/>
      <c r="E20" s="18"/>
      <c r="F20" s="18"/>
      <c r="G20" s="18"/>
      <c r="H20" s="18"/>
      <c r="I20" s="18"/>
      <c r="J20" s="18"/>
      <c r="K20" s="18"/>
      <c r="L20" s="18"/>
      <c r="M20" s="18"/>
      <c r="N20" s="18"/>
      <c r="O20" s="18"/>
      <c r="P20" s="18"/>
      <c r="Q20" s="18"/>
      <c r="R20" s="18"/>
      <c r="S20" s="18"/>
    </row>
    <row r="21" spans="1:19" hidden="1" x14ac:dyDescent="0.35">
      <c r="B21" s="18"/>
      <c r="C21" s="18"/>
      <c r="D21" s="18"/>
      <c r="E21" s="18"/>
      <c r="F21" s="18"/>
      <c r="G21" s="18"/>
      <c r="H21" s="18"/>
      <c r="I21" s="18"/>
      <c r="J21" s="18"/>
      <c r="K21" s="18"/>
      <c r="L21" s="18"/>
      <c r="M21" s="18"/>
      <c r="N21" s="18"/>
      <c r="O21" s="18"/>
      <c r="P21" s="18"/>
      <c r="Q21" s="18"/>
      <c r="R21" s="18"/>
      <c r="S21" s="18"/>
    </row>
    <row r="22" spans="1:19" hidden="1" x14ac:dyDescent="0.35">
      <c r="B22" s="18"/>
      <c r="C22" s="18"/>
      <c r="D22" s="18"/>
      <c r="E22" s="18"/>
      <c r="F22" s="18"/>
      <c r="G22" s="18"/>
      <c r="H22" s="18"/>
      <c r="I22" s="18"/>
      <c r="J22" s="18"/>
      <c r="K22" s="18"/>
      <c r="L22" s="18"/>
      <c r="M22" s="18"/>
      <c r="N22" s="18"/>
      <c r="O22" s="18"/>
      <c r="P22" s="18"/>
      <c r="Q22" s="18"/>
      <c r="R22" s="18"/>
      <c r="S22" s="18"/>
    </row>
  </sheetData>
  <sheetProtection algorithmName="SHA-512" hashValue="0pynL8dlmbl8hNalTJlYdqBB54yEptOyUJ4K68uMcyeJhdDFTlIKApMY2fm5lX4esKZhqyDLH/jAbxZrK//ttw==" saltValue="puAXGqmJQvk78zs3xjHfcQ==" spinCount="100000" sheet="1" objects="1" scenarios="1"/>
  <mergeCells count="2">
    <mergeCell ref="B2:J2"/>
    <mergeCell ref="B9:P9"/>
  </mergeCells>
  <hyperlinks>
    <hyperlink ref="B6" r:id="rId1" xr:uid="{E7079C06-1FD1-4946-8BFC-2F43CA049841}"/>
    <hyperlink ref="B15" r:id="rId2" xr:uid="{F23D2239-454E-43DC-971D-DCA6110F88AC}"/>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E542F9EDAB62B4B85130B33886C4CB3" ma:contentTypeVersion="18" ma:contentTypeDescription="Create a new document." ma:contentTypeScope="" ma:versionID="9985f171616b157dd4772fae9e1cbb01">
  <xsd:schema xmlns:xsd="http://www.w3.org/2001/XMLSchema" xmlns:xs="http://www.w3.org/2001/XMLSchema" xmlns:p="http://schemas.microsoft.com/office/2006/metadata/properties" xmlns:ns2="ecbfe105-6ac8-456f-b862-d8441338110b" xmlns:ns3="a9c55b04-a7a9-4ad1-ae8c-22dbe19f9100" targetNamespace="http://schemas.microsoft.com/office/2006/metadata/properties" ma:root="true" ma:fieldsID="0495c7f0525624bff65e4c00cce99e8b" ns2:_="" ns3:_="">
    <xsd:import namespace="ecbfe105-6ac8-456f-b862-d8441338110b"/>
    <xsd:import namespace="a9c55b04-a7a9-4ad1-ae8c-22dbe19f910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fe105-6ac8-456f-b862-d8441338110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9367fec-2ab6-4a7b-ada7-cd24e8fa32ea}" ma:internalName="TaxCatchAll" ma:showField="CatchAllData" ma:web="ecbfe105-6ac8-456f-b862-d8441338110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9c55b04-a7a9-4ad1-ae8c-22dbe19f910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d2ce34-2d4a-40db-94fd-ae2a1629fb3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9c55b04-a7a9-4ad1-ae8c-22dbe19f9100">
      <Terms xmlns="http://schemas.microsoft.com/office/infopath/2007/PartnerControls"/>
    </lcf76f155ced4ddcb4097134ff3c332f>
    <TaxCatchAll xmlns="ecbfe105-6ac8-456f-b862-d8441338110b" xsi:nil="true"/>
  </documentManagement>
</p:properties>
</file>

<file path=customXml/itemProps1.xml><?xml version="1.0" encoding="utf-8"?>
<ds:datastoreItem xmlns:ds="http://schemas.openxmlformats.org/officeDocument/2006/customXml" ds:itemID="{D94C0342-F099-4866-AA53-6A751E4F9BCF}"/>
</file>

<file path=customXml/itemProps2.xml><?xml version="1.0" encoding="utf-8"?>
<ds:datastoreItem xmlns:ds="http://schemas.openxmlformats.org/officeDocument/2006/customXml" ds:itemID="{E10AA208-7729-4623-BB31-5226EC11DAFA}">
  <ds:schemaRefs>
    <ds:schemaRef ds:uri="http://schemas.microsoft.com/sharepoint/v3/contenttype/forms"/>
  </ds:schemaRefs>
</ds:datastoreItem>
</file>

<file path=customXml/itemProps3.xml><?xml version="1.0" encoding="utf-8"?>
<ds:datastoreItem xmlns:ds="http://schemas.openxmlformats.org/officeDocument/2006/customXml" ds:itemID="{87036A9A-3D52-4717-8830-FCB4C557FB67}">
  <ds:schemaRefs>
    <ds:schemaRef ds:uri="http://schemas.microsoft.com/office/2006/metadata/properties"/>
    <ds:schemaRef ds:uri="http://schemas.microsoft.com/office/infopath/2007/PartnerControls"/>
    <ds:schemaRef ds:uri="eb8cff42-5652-403d-9370-86925285bf53"/>
    <ds:schemaRef ds:uri="63cc5491-11d0-42b6-aa67-deea8f49087f"/>
    <ds:schemaRef ds:uri="35ebc48a-dc9e-45bc-8496-b347132bae5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Version Control</vt:lpstr>
      <vt:lpstr>Introduction</vt:lpstr>
      <vt:lpstr>A Solution Outline</vt:lpstr>
      <vt:lpstr>B. Feasibility Simulation</vt:lpstr>
      <vt:lpstr>C. DRC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Fabricio Velez (NESO)</dc:creator>
  <cp:keywords/>
  <dc:description/>
  <cp:lastModifiedBy>Alex Millar [NESO]</cp:lastModifiedBy>
  <cp:revision/>
  <dcterms:created xsi:type="dcterms:W3CDTF">2024-12-03T16:16:21Z</dcterms:created>
  <dcterms:modified xsi:type="dcterms:W3CDTF">2025-11-19T14:27:39Z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0x0101002E542F9EDAB62B4B85130B33886C4CB3</vt:lpwstr>
  </property>
  <property fmtid="{D5CDD505-2E9C-101B-9397-08002B2CF9AE}" pid="3" name="MediaServiceImageTags">
    <vt:lpwstr/>
  </property>
  <property fmtid="{D5CDD505-2E9C-101B-9397-08002B2CF9AE}" pid="4" name="Order">
    <vt:lpwstr>5837600.00000000</vt:lpwstr>
  </property>
</Properties>
</file>